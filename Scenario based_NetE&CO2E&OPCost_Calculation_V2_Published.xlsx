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 Yulisa\Downloads\"/>
    </mc:Choice>
  </mc:AlternateContent>
  <xr:revisionPtr revIDLastSave="0" documentId="13_ncr:1_{30B66027-6ED6-47FD-B80A-BD82A8AC157C}" xr6:coauthVersionLast="47" xr6:coauthVersionMax="47" xr10:uidLastSave="{00000000-0000-0000-0000-000000000000}"/>
  <bookViews>
    <workbookView xWindow="-120" yWindow="-120" windowWidth="29040" windowHeight="15840" xr2:uid="{06521F25-327B-4151-80F0-04455580A827}"/>
  </bookViews>
  <sheets>
    <sheet name="1-1. Incineration" sheetId="6" r:id="rId1"/>
    <sheet name="1-2. Incineration + AD" sheetId="8" r:id="rId2"/>
    <sheet name="2. Extrusion" sheetId="1" r:id="rId3"/>
    <sheet name="3. Chemical recycling" sheetId="4" r:id="rId4"/>
    <sheet name="4. AD recycling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4" i="4" l="1"/>
  <c r="AJ95" i="8"/>
  <c r="V137" i="5"/>
  <c r="V136" i="5"/>
  <c r="S13" i="5" l="1"/>
  <c r="K116" i="4" l="1"/>
  <c r="AM17" i="4"/>
  <c r="AM16" i="4"/>
  <c r="AN34" i="6" l="1"/>
  <c r="Y18" i="5"/>
  <c r="C12" i="5" l="1"/>
  <c r="G163" i="5" s="1"/>
  <c r="C9" i="5"/>
  <c r="G136" i="5" s="1"/>
  <c r="G134" i="4"/>
  <c r="C12" i="4"/>
  <c r="C9" i="4"/>
  <c r="G162" i="4"/>
  <c r="AC175" i="5"/>
  <c r="AC174" i="5"/>
  <c r="AC173" i="5"/>
  <c r="AC172" i="5"/>
  <c r="AC170" i="5"/>
  <c r="AC169" i="5"/>
  <c r="AC168" i="5"/>
  <c r="AC167" i="5"/>
  <c r="AA166" i="5"/>
  <c r="AC166" i="5" s="1"/>
  <c r="AC165" i="5"/>
  <c r="AC163" i="5"/>
  <c r="AC148" i="5"/>
  <c r="AC147" i="5"/>
  <c r="AC146" i="5"/>
  <c r="AC145" i="5"/>
  <c r="AC143" i="5"/>
  <c r="AC142" i="5"/>
  <c r="AC141" i="5"/>
  <c r="AC140" i="5"/>
  <c r="AA139" i="5"/>
  <c r="AC139" i="5" s="1"/>
  <c r="AC138" i="5"/>
  <c r="AC136" i="5"/>
  <c r="Y175" i="4"/>
  <c r="T175" i="4"/>
  <c r="Y174" i="4"/>
  <c r="Y173" i="4"/>
  <c r="Y172" i="4"/>
  <c r="Y171" i="4"/>
  <c r="Y169" i="4"/>
  <c r="Y168" i="4"/>
  <c r="Y167" i="4"/>
  <c r="W165" i="4"/>
  <c r="Y165" i="4" s="1"/>
  <c r="Y164" i="4"/>
  <c r="Y163" i="4"/>
  <c r="Y162" i="4"/>
  <c r="Y147" i="4"/>
  <c r="Y146" i="4"/>
  <c r="Y145" i="4"/>
  <c r="Y144" i="4"/>
  <c r="Y143" i="4"/>
  <c r="Y141" i="4"/>
  <c r="T141" i="4"/>
  <c r="Y140" i="4"/>
  <c r="Y139" i="4"/>
  <c r="W137" i="4"/>
  <c r="Y137" i="4" s="1"/>
  <c r="Y136" i="4"/>
  <c r="Y135" i="4"/>
  <c r="Y134" i="4"/>
  <c r="AC166" i="8"/>
  <c r="AC192" i="8"/>
  <c r="AC138" i="8"/>
  <c r="U175" i="4" l="1"/>
  <c r="U141" i="4"/>
  <c r="C12" i="1" l="1"/>
  <c r="G156" i="1" s="1"/>
  <c r="C9" i="1"/>
  <c r="G131" i="1" s="1"/>
  <c r="C11" i="1"/>
  <c r="W166" i="1"/>
  <c r="W165" i="1"/>
  <c r="W164" i="1"/>
  <c r="W163" i="1"/>
  <c r="W162" i="1"/>
  <c r="R162" i="1"/>
  <c r="S162" i="1" s="1"/>
  <c r="R161" i="1"/>
  <c r="S161" i="1" s="1"/>
  <c r="W160" i="1"/>
  <c r="U159" i="1"/>
  <c r="W159" i="1" s="1"/>
  <c r="W158" i="1"/>
  <c r="W157" i="1"/>
  <c r="W156" i="1"/>
  <c r="W141" i="1"/>
  <c r="R141" i="1"/>
  <c r="S141" i="1" s="1"/>
  <c r="W140" i="1"/>
  <c r="R140" i="1"/>
  <c r="S140" i="1" s="1"/>
  <c r="W139" i="1"/>
  <c r="R139" i="1"/>
  <c r="S139" i="1" s="1"/>
  <c r="W138" i="1"/>
  <c r="W137" i="1"/>
  <c r="R137" i="1"/>
  <c r="S137" i="1" s="1"/>
  <c r="W135" i="1"/>
  <c r="R135" i="1"/>
  <c r="S135" i="1" s="1"/>
  <c r="U134" i="1"/>
  <c r="W134" i="1" s="1"/>
  <c r="W133" i="1"/>
  <c r="W132" i="1"/>
  <c r="W131" i="1"/>
  <c r="G191" i="8"/>
  <c r="G165" i="8"/>
  <c r="C12" i="8"/>
  <c r="C9" i="8"/>
  <c r="AC202" i="8"/>
  <c r="AC201" i="8"/>
  <c r="AC200" i="8"/>
  <c r="AC199" i="8"/>
  <c r="AC198" i="8"/>
  <c r="AC196" i="8"/>
  <c r="AC195" i="8"/>
  <c r="V195" i="8"/>
  <c r="W195" i="8" s="1"/>
  <c r="AA194" i="8"/>
  <c r="AC194" i="8" s="1"/>
  <c r="AC193" i="8"/>
  <c r="AC191" i="8"/>
  <c r="AC176" i="8"/>
  <c r="V176" i="8"/>
  <c r="AC175" i="8"/>
  <c r="AC174" i="8"/>
  <c r="V174" i="8"/>
  <c r="W174" i="8" s="1"/>
  <c r="AC173" i="8"/>
  <c r="AC172" i="8"/>
  <c r="V172" i="8"/>
  <c r="W172" i="8" s="1"/>
  <c r="V171" i="8"/>
  <c r="W171" i="8" s="1"/>
  <c r="AC170" i="8"/>
  <c r="AC169" i="8"/>
  <c r="V169" i="8"/>
  <c r="W169" i="8" s="1"/>
  <c r="AA168" i="8"/>
  <c r="AC168" i="8" s="1"/>
  <c r="AC167" i="8"/>
  <c r="AC165" i="8"/>
  <c r="C12" i="6"/>
  <c r="C9" i="6"/>
  <c r="T146" i="6"/>
  <c r="T145" i="6"/>
  <c r="T144" i="6"/>
  <c r="T143" i="6"/>
  <c r="T142" i="6"/>
  <c r="T141" i="6"/>
  <c r="T127" i="6"/>
  <c r="T126" i="6"/>
  <c r="T125" i="6"/>
  <c r="T124" i="6"/>
  <c r="T123" i="6"/>
  <c r="T122" i="6"/>
  <c r="W176" i="8" l="1"/>
  <c r="Q73" i="4" l="1"/>
  <c r="Q17" i="6"/>
  <c r="T47" i="8"/>
  <c r="X14" i="4" l="1"/>
  <c r="AB10" i="1"/>
  <c r="AN48" i="8" l="1"/>
  <c r="AN58" i="8"/>
  <c r="T36" i="1"/>
  <c r="X15" i="1"/>
  <c r="W57" i="1"/>
  <c r="W55" i="1"/>
  <c r="Q74" i="1"/>
  <c r="Q73" i="1"/>
  <c r="AB31" i="4"/>
  <c r="T36" i="4"/>
  <c r="T12" i="4"/>
  <c r="W57" i="4"/>
  <c r="W55" i="4"/>
  <c r="Q74" i="4"/>
  <c r="AG39" i="5"/>
  <c r="AG38" i="5"/>
  <c r="AM25" i="5"/>
  <c r="W59" i="5"/>
  <c r="W57" i="5"/>
  <c r="AM23" i="5"/>
  <c r="Q76" i="5"/>
  <c r="Q75" i="5"/>
  <c r="Q107" i="8"/>
  <c r="Q108" i="8"/>
  <c r="W89" i="8"/>
  <c r="W91" i="8"/>
  <c r="X55" i="6"/>
  <c r="X45" i="6"/>
  <c r="AN35" i="6" l="1"/>
  <c r="AN38" i="6"/>
  <c r="AN37" i="6"/>
  <c r="AL93" i="8"/>
  <c r="AL96" i="8"/>
  <c r="AL94" i="8"/>
  <c r="AL58" i="1"/>
  <c r="AL56" i="1"/>
  <c r="AL58" i="4"/>
  <c r="AL56" i="4"/>
  <c r="AC144" i="8"/>
  <c r="W109" i="1"/>
  <c r="Y112" i="4"/>
  <c r="AC114" i="5"/>
  <c r="U76" i="5"/>
  <c r="AK39" i="5"/>
  <c r="U108" i="8"/>
  <c r="U74" i="4"/>
  <c r="U74" i="1"/>
  <c r="Y116" i="4"/>
  <c r="AC139" i="8" l="1"/>
  <c r="AC141" i="8"/>
  <c r="AC142" i="8"/>
  <c r="AC145" i="8"/>
  <c r="AC146" i="8"/>
  <c r="AC147" i="8"/>
  <c r="AC148" i="8"/>
  <c r="AC137" i="8"/>
  <c r="G137" i="8"/>
  <c r="O145" i="8"/>
  <c r="H145" i="8"/>
  <c r="AA140" i="8"/>
  <c r="AC140" i="8" s="1"/>
  <c r="F140" i="8"/>
  <c r="T100" i="6"/>
  <c r="T104" i="6"/>
  <c r="T103" i="6"/>
  <c r="T102" i="6"/>
  <c r="T101" i="6"/>
  <c r="T99" i="6"/>
  <c r="AC115" i="5"/>
  <c r="AC116" i="5"/>
  <c r="AC117" i="5"/>
  <c r="AC112" i="5"/>
  <c r="AC111" i="5"/>
  <c r="AC110" i="5"/>
  <c r="AC109" i="5"/>
  <c r="AC107" i="5"/>
  <c r="AC105" i="5"/>
  <c r="AA108" i="5"/>
  <c r="AC108" i="5" s="1"/>
  <c r="J105" i="5"/>
  <c r="U106" i="1"/>
  <c r="R136" i="1" s="1"/>
  <c r="S136" i="1" s="1"/>
  <c r="W106" i="4"/>
  <c r="Y109" i="4"/>
  <c r="Y113" i="4"/>
  <c r="Y114" i="4"/>
  <c r="Y115" i="4"/>
  <c r="Y110" i="4"/>
  <c r="Y108" i="4"/>
  <c r="Y104" i="4"/>
  <c r="Y105" i="4"/>
  <c r="Y106" i="4"/>
  <c r="Y103" i="4"/>
  <c r="W104" i="1"/>
  <c r="W105" i="1"/>
  <c r="W107" i="1"/>
  <c r="W110" i="1"/>
  <c r="W111" i="1"/>
  <c r="W112" i="1"/>
  <c r="W113" i="1"/>
  <c r="W103" i="1"/>
  <c r="W106" i="1" l="1"/>
  <c r="Y80" i="8"/>
  <c r="AI38" i="8" s="1"/>
  <c r="AI40" i="8" s="1"/>
  <c r="U48" i="8"/>
  <c r="T48" i="8"/>
  <c r="AI46" i="8"/>
  <c r="AI48" i="8" s="1"/>
  <c r="U46" i="8"/>
  <c r="AN43" i="8"/>
  <c r="AN41" i="8"/>
  <c r="AN42" i="8" s="1"/>
  <c r="AN40" i="8"/>
  <c r="AH27" i="8"/>
  <c r="AG27" i="8"/>
  <c r="AH26" i="8"/>
  <c r="AG26" i="8"/>
  <c r="AH25" i="8"/>
  <c r="AG25" i="8"/>
  <c r="AH22" i="8"/>
  <c r="AG22" i="8"/>
  <c r="U47" i="8"/>
  <c r="AH15" i="8"/>
  <c r="AH16" i="8"/>
  <c r="AG16" i="8"/>
  <c r="AG15" i="8"/>
  <c r="AQ9" i="8"/>
  <c r="AQ10" i="8" s="1"/>
  <c r="AP9" i="8"/>
  <c r="AP10" i="8" s="1"/>
  <c r="AH9" i="8"/>
  <c r="AH23" i="8" s="1"/>
  <c r="AG9" i="8"/>
  <c r="AG23" i="8" s="1"/>
  <c r="X40" i="6"/>
  <c r="X38" i="6"/>
  <c r="X39" i="6" s="1"/>
  <c r="X37" i="6"/>
  <c r="S35" i="6"/>
  <c r="S37" i="6" s="1"/>
  <c r="S43" i="6"/>
  <c r="S45" i="6" s="1"/>
  <c r="L8" i="6"/>
  <c r="D45" i="6"/>
  <c r="D44" i="6"/>
  <c r="U19" i="6"/>
  <c r="AI24" i="6" s="1"/>
  <c r="W19" i="6"/>
  <c r="E44" i="6" s="1"/>
  <c r="V19" i="6"/>
  <c r="E45" i="6" s="1"/>
  <c r="E43" i="6"/>
  <c r="AI26" i="6"/>
  <c r="AI25" i="6"/>
  <c r="AI21" i="6"/>
  <c r="AH26" i="6"/>
  <c r="AH25" i="6"/>
  <c r="AH24" i="6"/>
  <c r="AH21" i="6"/>
  <c r="AR8" i="6"/>
  <c r="AQ8" i="6"/>
  <c r="AQ9" i="6" s="1"/>
  <c r="AI15" i="6"/>
  <c r="AH15" i="6"/>
  <c r="AH14" i="6"/>
  <c r="AH8" i="6"/>
  <c r="AH10" i="6" s="1"/>
  <c r="D51" i="6" s="1"/>
  <c r="AI8" i="6"/>
  <c r="AI23" i="6" s="1"/>
  <c r="U9" i="6"/>
  <c r="U11" i="6" s="1"/>
  <c r="U12" i="6" s="1"/>
  <c r="U7" i="6"/>
  <c r="U8" i="6" s="1"/>
  <c r="D38" i="6" s="1"/>
  <c r="L14" i="6"/>
  <c r="L11" i="6"/>
  <c r="Q11" i="6"/>
  <c r="Q7" i="6"/>
  <c r="K8" i="8"/>
  <c r="M117" i="8"/>
  <c r="I95" i="8"/>
  <c r="M93" i="8"/>
  <c r="Q92" i="8"/>
  <c r="I92" i="8"/>
  <c r="G16" i="8"/>
  <c r="F137" i="8" s="1"/>
  <c r="G11" i="8"/>
  <c r="G65" i="8" s="1"/>
  <c r="G10" i="8"/>
  <c r="C11" i="8"/>
  <c r="C8" i="8"/>
  <c r="G10" i="6"/>
  <c r="C11" i="6"/>
  <c r="C8" i="6"/>
  <c r="Y29" i="5"/>
  <c r="Y26" i="5"/>
  <c r="S12" i="5"/>
  <c r="AC16" i="5"/>
  <c r="AC10" i="5"/>
  <c r="Y10" i="5"/>
  <c r="S9" i="5"/>
  <c r="AG26" i="5"/>
  <c r="AL58" i="5"/>
  <c r="AL60" i="5"/>
  <c r="AJ13" i="4"/>
  <c r="AJ41" i="4"/>
  <c r="AL21" i="4"/>
  <c r="AL22" i="4"/>
  <c r="AL23" i="4"/>
  <c r="AF16" i="4"/>
  <c r="AF11" i="4"/>
  <c r="X11" i="4"/>
  <c r="I106" i="5"/>
  <c r="G105" i="5"/>
  <c r="M85" i="5"/>
  <c r="I63" i="5"/>
  <c r="M61" i="5"/>
  <c r="Q60" i="5"/>
  <c r="I60" i="5"/>
  <c r="G16" i="5"/>
  <c r="G11" i="5"/>
  <c r="K10" i="5" s="1"/>
  <c r="G10" i="5"/>
  <c r="F107" i="5" s="1"/>
  <c r="C11" i="5"/>
  <c r="C8" i="5"/>
  <c r="Q103" i="4"/>
  <c r="G103" i="4"/>
  <c r="M83" i="4"/>
  <c r="I61" i="4"/>
  <c r="M59" i="4"/>
  <c r="Q58" i="4"/>
  <c r="I58" i="4"/>
  <c r="T30" i="4"/>
  <c r="T26" i="4"/>
  <c r="T34" i="4" s="1"/>
  <c r="G16" i="4"/>
  <c r="G11" i="4"/>
  <c r="G33" i="4" s="1"/>
  <c r="K10" i="4"/>
  <c r="K33" i="4" s="1"/>
  <c r="K34" i="4" s="1"/>
  <c r="G10" i="4"/>
  <c r="F136" i="4" s="1"/>
  <c r="C11" i="4"/>
  <c r="C8" i="4"/>
  <c r="G103" i="1"/>
  <c r="T12" i="1"/>
  <c r="G16" i="1"/>
  <c r="G34" i="4" l="1"/>
  <c r="F139" i="8"/>
  <c r="F167" i="8"/>
  <c r="F193" i="8"/>
  <c r="AL38" i="6"/>
  <c r="G127" i="6"/>
  <c r="O127" i="6" s="1"/>
  <c r="P127" i="6" s="1"/>
  <c r="G146" i="6"/>
  <c r="O146" i="6" s="1"/>
  <c r="P146" i="6" s="1"/>
  <c r="F191" i="8"/>
  <c r="F165" i="8"/>
  <c r="F103" i="4"/>
  <c r="F134" i="4"/>
  <c r="F162" i="4"/>
  <c r="F122" i="6"/>
  <c r="F141" i="6"/>
  <c r="K8" i="4"/>
  <c r="K9" i="4" s="1"/>
  <c r="S137" i="8"/>
  <c r="K10" i="8"/>
  <c r="K11" i="8" s="1"/>
  <c r="O105" i="5"/>
  <c r="F105" i="5"/>
  <c r="F136" i="5"/>
  <c r="F163" i="5"/>
  <c r="F165" i="5"/>
  <c r="F138" i="5"/>
  <c r="G35" i="5"/>
  <c r="G35" i="4"/>
  <c r="F164" i="4"/>
  <c r="F103" i="1"/>
  <c r="F131" i="1"/>
  <c r="F156" i="1"/>
  <c r="F99" i="6"/>
  <c r="T42" i="8"/>
  <c r="AN21" i="6"/>
  <c r="Q15" i="6"/>
  <c r="Q16" i="6" s="1"/>
  <c r="Q18" i="6" s="1"/>
  <c r="Q19" i="6" s="1"/>
  <c r="D39" i="6"/>
  <c r="D59" i="6" s="1"/>
  <c r="AO24" i="6"/>
  <c r="G67" i="8"/>
  <c r="X41" i="6"/>
  <c r="X42" i="6" s="1"/>
  <c r="AO25" i="6"/>
  <c r="L9" i="6"/>
  <c r="L16" i="6" s="1"/>
  <c r="G104" i="6"/>
  <c r="O104" i="6" s="1"/>
  <c r="P104" i="6" s="1"/>
  <c r="AO26" i="6"/>
  <c r="AN44" i="8"/>
  <c r="AN45" i="8" s="1"/>
  <c r="U42" i="8"/>
  <c r="AG24" i="8"/>
  <c r="AH24" i="8"/>
  <c r="AH18" i="8"/>
  <c r="AG11" i="8"/>
  <c r="T54" i="8" s="1"/>
  <c r="AG17" i="8"/>
  <c r="AH17" i="8"/>
  <c r="AG18" i="8"/>
  <c r="AH11" i="8"/>
  <c r="U54" i="8" s="1"/>
  <c r="AN24" i="6"/>
  <c r="AN25" i="6"/>
  <c r="AN26" i="6"/>
  <c r="AO21" i="6"/>
  <c r="AO23" i="6"/>
  <c r="D49" i="6"/>
  <c r="D62" i="6" s="1"/>
  <c r="AI14" i="6"/>
  <c r="AI16" i="6" s="1"/>
  <c r="AH16" i="6"/>
  <c r="I36" i="6" s="1"/>
  <c r="AH17" i="6"/>
  <c r="AI17" i="6"/>
  <c r="AR9" i="6"/>
  <c r="AH22" i="6"/>
  <c r="AH23" i="6"/>
  <c r="AN23" i="6" s="1"/>
  <c r="E39" i="6"/>
  <c r="D50" i="6"/>
  <c r="U10" i="6"/>
  <c r="E38" i="6" s="1"/>
  <c r="AI22" i="6"/>
  <c r="AI10" i="6"/>
  <c r="E51" i="6" s="1"/>
  <c r="G66" i="8"/>
  <c r="G63" i="8"/>
  <c r="G68" i="8" s="1"/>
  <c r="K11" i="5"/>
  <c r="K33" i="5"/>
  <c r="K34" i="5" s="1"/>
  <c r="G31" i="5"/>
  <c r="G33" i="5"/>
  <c r="K8" i="5"/>
  <c r="K9" i="5" s="1"/>
  <c r="AC28" i="5"/>
  <c r="Q106" i="5" s="1"/>
  <c r="O10" i="5"/>
  <c r="G31" i="4"/>
  <c r="G37" i="4" s="1"/>
  <c r="Q162" i="4" s="1"/>
  <c r="O10" i="4"/>
  <c r="K11" i="4"/>
  <c r="G41" i="4"/>
  <c r="K13" i="4"/>
  <c r="O8" i="4"/>
  <c r="F105" i="4"/>
  <c r="O10" i="8" l="1"/>
  <c r="S191" i="8"/>
  <c r="K65" i="8"/>
  <c r="K66" i="8" s="1"/>
  <c r="O11" i="4"/>
  <c r="O16" i="4"/>
  <c r="O17" i="4" s="1"/>
  <c r="G69" i="8"/>
  <c r="G136" i="4"/>
  <c r="G164" i="4"/>
  <c r="K14" i="4"/>
  <c r="G32" i="4"/>
  <c r="G36" i="4"/>
  <c r="G39" i="5"/>
  <c r="U92" i="5" s="1"/>
  <c r="G36" i="5"/>
  <c r="O163" i="5" s="1"/>
  <c r="O11" i="5"/>
  <c r="V10" i="5" s="1"/>
  <c r="G34" i="5"/>
  <c r="G37" i="5"/>
  <c r="AP26" i="6"/>
  <c r="G32" i="5"/>
  <c r="G41" i="5"/>
  <c r="J41" i="5" s="1"/>
  <c r="J42" i="5" s="1"/>
  <c r="W60" i="5" s="1"/>
  <c r="AP24" i="6"/>
  <c r="D37" i="6"/>
  <c r="AP25" i="6"/>
  <c r="AP23" i="6"/>
  <c r="E37" i="6"/>
  <c r="AE47" i="6"/>
  <c r="AE48" i="6"/>
  <c r="AH28" i="8"/>
  <c r="AG28" i="8"/>
  <c r="AP21" i="6"/>
  <c r="L17" i="6"/>
  <c r="L19" i="6"/>
  <c r="L20" i="6" s="1"/>
  <c r="AI27" i="6"/>
  <c r="AO22" i="6"/>
  <c r="AH27" i="6"/>
  <c r="AN22" i="6"/>
  <c r="AP22" i="6" s="1"/>
  <c r="S42" i="6"/>
  <c r="J36" i="6"/>
  <c r="K36" i="6" s="1"/>
  <c r="S34" i="6" s="1"/>
  <c r="E49" i="6"/>
  <c r="E62" i="6" s="1"/>
  <c r="E59" i="6"/>
  <c r="E50" i="6"/>
  <c r="D35" i="6"/>
  <c r="D61" i="6"/>
  <c r="D58" i="6"/>
  <c r="D56" i="6" s="1"/>
  <c r="G71" i="8"/>
  <c r="G64" i="8"/>
  <c r="K9" i="8"/>
  <c r="O8" i="8"/>
  <c r="K13" i="8"/>
  <c r="K13" i="5"/>
  <c r="O8" i="5"/>
  <c r="G39" i="4"/>
  <c r="O13" i="4"/>
  <c r="T9" i="4" s="1"/>
  <c r="O9" i="4"/>
  <c r="X21" i="4" s="1"/>
  <c r="G42" i="4"/>
  <c r="J41" i="4"/>
  <c r="J42" i="4" s="1"/>
  <c r="W58" i="4" s="1"/>
  <c r="AJ55" i="4" s="1"/>
  <c r="K35" i="4"/>
  <c r="G43" i="4" s="1"/>
  <c r="G105" i="4"/>
  <c r="F106" i="4"/>
  <c r="T106" i="4" s="1"/>
  <c r="U106" i="4" s="1"/>
  <c r="G40" i="5" l="1"/>
  <c r="J39" i="5"/>
  <c r="J40" i="5" s="1"/>
  <c r="N126" i="6"/>
  <c r="O126" i="6" s="1"/>
  <c r="P126" i="6" s="1"/>
  <c r="N145" i="6"/>
  <c r="O145" i="6" s="1"/>
  <c r="P145" i="6" s="1"/>
  <c r="G167" i="8"/>
  <c r="V167" i="8" s="1"/>
  <c r="W167" i="8" s="1"/>
  <c r="G193" i="8"/>
  <c r="F165" i="4"/>
  <c r="T165" i="4" s="1"/>
  <c r="U165" i="4" s="1"/>
  <c r="F137" i="4"/>
  <c r="T137" i="4" s="1"/>
  <c r="U137" i="4" s="1"/>
  <c r="O11" i="8"/>
  <c r="U41" i="8" s="1"/>
  <c r="O16" i="8"/>
  <c r="G99" i="6"/>
  <c r="G141" i="6"/>
  <c r="G122" i="6"/>
  <c r="N125" i="6"/>
  <c r="O125" i="6" s="1"/>
  <c r="P125" i="6" s="1"/>
  <c r="N144" i="6"/>
  <c r="O144" i="6" s="1"/>
  <c r="P144" i="6" s="1"/>
  <c r="G73" i="8"/>
  <c r="H105" i="4"/>
  <c r="H136" i="4"/>
  <c r="T136" i="4" s="1"/>
  <c r="U136" i="4" s="1"/>
  <c r="H164" i="4"/>
  <c r="G100" i="6"/>
  <c r="G123" i="6"/>
  <c r="G142" i="6"/>
  <c r="G42" i="5"/>
  <c r="O9" i="5"/>
  <c r="O16" i="5"/>
  <c r="O17" i="5" s="1"/>
  <c r="J136" i="5" s="1"/>
  <c r="K14" i="5"/>
  <c r="G165" i="5"/>
  <c r="G138" i="5"/>
  <c r="K115" i="5"/>
  <c r="K146" i="5"/>
  <c r="K173" i="5"/>
  <c r="G107" i="5"/>
  <c r="K35" i="5"/>
  <c r="G43" i="5" s="1"/>
  <c r="G46" i="5" s="1"/>
  <c r="G47" i="5" s="1"/>
  <c r="M59" i="5" s="1"/>
  <c r="M60" i="5" s="1"/>
  <c r="M62" i="5" s="1"/>
  <c r="O13" i="5"/>
  <c r="O14" i="5" s="1"/>
  <c r="V11" i="5" s="1"/>
  <c r="N103" i="6"/>
  <c r="O103" i="6" s="1"/>
  <c r="P103" i="6" s="1"/>
  <c r="AL36" i="6"/>
  <c r="N102" i="6"/>
  <c r="O102" i="6" s="1"/>
  <c r="P102" i="6" s="1"/>
  <c r="AL37" i="6"/>
  <c r="G139" i="8"/>
  <c r="K14" i="8"/>
  <c r="AD34" i="6"/>
  <c r="S47" i="6"/>
  <c r="S48" i="6" s="1"/>
  <c r="S52" i="6"/>
  <c r="S53" i="6" s="1"/>
  <c r="S54" i="6" s="1"/>
  <c r="E61" i="6"/>
  <c r="E35" i="6"/>
  <c r="I35" i="6"/>
  <c r="I37" i="6" s="1"/>
  <c r="AP27" i="6"/>
  <c r="E58" i="6"/>
  <c r="K67" i="8"/>
  <c r="G75" i="8" s="1"/>
  <c r="G78" i="8" s="1"/>
  <c r="G79" i="8" s="1"/>
  <c r="O9" i="8"/>
  <c r="T41" i="8" s="1"/>
  <c r="O13" i="8"/>
  <c r="G74" i="8"/>
  <c r="J73" i="8"/>
  <c r="J74" i="8" s="1"/>
  <c r="W92" i="8" s="1"/>
  <c r="AJ91" i="8" s="1"/>
  <c r="U124" i="8"/>
  <c r="J71" i="8"/>
  <c r="J72" i="8" s="1"/>
  <c r="G72" i="8"/>
  <c r="W61" i="5"/>
  <c r="AB9" i="4"/>
  <c r="X25" i="4"/>
  <c r="X26" i="4" s="1"/>
  <c r="X22" i="4"/>
  <c r="X24" i="4" s="1"/>
  <c r="AF28" i="4"/>
  <c r="AF29" i="4" s="1"/>
  <c r="AF24" i="4"/>
  <c r="X17" i="4"/>
  <c r="X18" i="4" s="1"/>
  <c r="G46" i="4"/>
  <c r="G47" i="4" s="1"/>
  <c r="M57" i="4" s="1"/>
  <c r="M58" i="4" s="1"/>
  <c r="M60" i="4" s="1"/>
  <c r="Q72" i="5"/>
  <c r="W62" i="5"/>
  <c r="C58" i="5"/>
  <c r="H107" i="5"/>
  <c r="U90" i="4"/>
  <c r="J39" i="4"/>
  <c r="J40" i="4" s="1"/>
  <c r="G40" i="4"/>
  <c r="M113" i="4"/>
  <c r="Q70" i="4"/>
  <c r="W60" i="4"/>
  <c r="W59" i="4"/>
  <c r="AJ54" i="4" s="1"/>
  <c r="T10" i="4"/>
  <c r="T17" i="4" s="1"/>
  <c r="T35" i="4"/>
  <c r="T37" i="4" s="1"/>
  <c r="T38" i="4" s="1"/>
  <c r="V9" i="5" l="1"/>
  <c r="AC12" i="5"/>
  <c r="M163" i="4"/>
  <c r="M135" i="4"/>
  <c r="V16" i="5"/>
  <c r="V17" i="5" s="1"/>
  <c r="AK35" i="5"/>
  <c r="I100" i="6"/>
  <c r="I123" i="6"/>
  <c r="I142" i="6"/>
  <c r="I99" i="6"/>
  <c r="I122" i="6"/>
  <c r="I141" i="6"/>
  <c r="L99" i="6"/>
  <c r="L141" i="6"/>
  <c r="L122" i="6"/>
  <c r="AN25" i="8"/>
  <c r="U53" i="8"/>
  <c r="AN23" i="8"/>
  <c r="AN27" i="8"/>
  <c r="Z39" i="8"/>
  <c r="U62" i="8"/>
  <c r="U52" i="8"/>
  <c r="AN22" i="8"/>
  <c r="AN26" i="8"/>
  <c r="U40" i="8"/>
  <c r="AN24" i="8"/>
  <c r="Y17" i="5"/>
  <c r="Y15" i="5"/>
  <c r="V12" i="5"/>
  <c r="AF10" i="5"/>
  <c r="AK49" i="5" s="1"/>
  <c r="AJ58" i="5" s="1"/>
  <c r="V13" i="5"/>
  <c r="G140" i="8"/>
  <c r="V140" i="8" s="1"/>
  <c r="W140" i="8" s="1"/>
  <c r="G194" i="8"/>
  <c r="V194" i="8" s="1"/>
  <c r="W194" i="8" s="1"/>
  <c r="G168" i="8"/>
  <c r="V168" i="8" s="1"/>
  <c r="W168" i="8" s="1"/>
  <c r="I140" i="4"/>
  <c r="T140" i="4" s="1"/>
  <c r="U140" i="4" s="1"/>
  <c r="I168" i="4"/>
  <c r="T168" i="4" s="1"/>
  <c r="U168" i="4" s="1"/>
  <c r="I113" i="4"/>
  <c r="T113" i="4" s="1"/>
  <c r="U113" i="4" s="1"/>
  <c r="I144" i="4"/>
  <c r="T144" i="4" s="1"/>
  <c r="U144" i="4" s="1"/>
  <c r="I107" i="4"/>
  <c r="I138" i="4"/>
  <c r="I166" i="4"/>
  <c r="T166" i="4" s="1"/>
  <c r="U166" i="4" s="1"/>
  <c r="M172" i="4"/>
  <c r="T172" i="4" s="1"/>
  <c r="U172" i="4" s="1"/>
  <c r="AJ56" i="4"/>
  <c r="U199" i="8"/>
  <c r="AJ94" i="8"/>
  <c r="U145" i="8"/>
  <c r="U71" i="5"/>
  <c r="U72" i="5"/>
  <c r="K137" i="5"/>
  <c r="K106" i="5"/>
  <c r="K164" i="5"/>
  <c r="F108" i="5"/>
  <c r="X108" i="5" s="1"/>
  <c r="Y108" i="5" s="1"/>
  <c r="F166" i="5"/>
  <c r="X166" i="5" s="1"/>
  <c r="Y166" i="5" s="1"/>
  <c r="F139" i="5"/>
  <c r="X139" i="5" s="1"/>
  <c r="Y139" i="5" s="1"/>
  <c r="J163" i="5"/>
  <c r="AF12" i="5"/>
  <c r="AM26" i="5" s="1"/>
  <c r="AJ57" i="5" s="1"/>
  <c r="M104" i="4"/>
  <c r="E56" i="6"/>
  <c r="J35" i="6" s="1"/>
  <c r="J37" i="6" s="1"/>
  <c r="AF11" i="5"/>
  <c r="C56" i="4"/>
  <c r="U69" i="4" s="1"/>
  <c r="U75" i="4" s="1"/>
  <c r="I109" i="4"/>
  <c r="T109" i="4" s="1"/>
  <c r="U109" i="4" s="1"/>
  <c r="X27" i="4"/>
  <c r="AF25" i="4"/>
  <c r="AU52" i="8"/>
  <c r="AM23" i="8"/>
  <c r="AO23" i="8" s="1"/>
  <c r="Y39" i="8"/>
  <c r="AA39" i="8" s="1"/>
  <c r="AI37" i="8" s="1"/>
  <c r="AM25" i="8"/>
  <c r="AO25" i="8" s="1"/>
  <c r="T62" i="8"/>
  <c r="T52" i="8"/>
  <c r="AM26" i="8"/>
  <c r="AM22" i="8"/>
  <c r="AM27" i="8"/>
  <c r="AO27" i="8" s="1"/>
  <c r="T40" i="8"/>
  <c r="AM24" i="8"/>
  <c r="AO24" i="8" s="1"/>
  <c r="AI45" i="8"/>
  <c r="AU51" i="8"/>
  <c r="T53" i="8"/>
  <c r="AQ21" i="6"/>
  <c r="AL33" i="6" s="1"/>
  <c r="AQ24" i="6"/>
  <c r="AQ25" i="6"/>
  <c r="AD38" i="6" s="1"/>
  <c r="AD39" i="6" s="1"/>
  <c r="AD40" i="6" s="1"/>
  <c r="AD42" i="6" s="1"/>
  <c r="AQ26" i="6"/>
  <c r="AQ23" i="6"/>
  <c r="AQ22" i="6"/>
  <c r="C90" i="8"/>
  <c r="U104" i="8" s="1"/>
  <c r="M91" i="8"/>
  <c r="M92" i="8" s="1"/>
  <c r="M94" i="8" s="1"/>
  <c r="Q104" i="8"/>
  <c r="W94" i="8"/>
  <c r="W93" i="8"/>
  <c r="AJ90" i="8" s="1"/>
  <c r="X23" i="4"/>
  <c r="AF26" i="4"/>
  <c r="AB10" i="4"/>
  <c r="AB21" i="4"/>
  <c r="AB26" i="4"/>
  <c r="AF14" i="4"/>
  <c r="H106" i="5"/>
  <c r="C60" i="5"/>
  <c r="C61" i="5" s="1"/>
  <c r="C62" i="5" s="1"/>
  <c r="U73" i="5"/>
  <c r="M72" i="5"/>
  <c r="H75" i="5"/>
  <c r="Q79" i="5"/>
  <c r="Q80" i="5" s="1"/>
  <c r="Q77" i="5"/>
  <c r="Q78" i="5" s="1"/>
  <c r="Q73" i="5"/>
  <c r="T20" i="4"/>
  <c r="T21" i="4" s="1"/>
  <c r="T18" i="4"/>
  <c r="M70" i="4"/>
  <c r="H73" i="4"/>
  <c r="Q75" i="4"/>
  <c r="Q76" i="4" s="1"/>
  <c r="R162" i="4" s="1"/>
  <c r="Q71" i="4"/>
  <c r="Q77" i="4"/>
  <c r="Q78" i="4" s="1"/>
  <c r="R163" i="4" s="1"/>
  <c r="AG35" i="5" l="1"/>
  <c r="AM28" i="5"/>
  <c r="AC13" i="5"/>
  <c r="AC14" i="5" s="1"/>
  <c r="AC17" i="5" s="1"/>
  <c r="AF9" i="5"/>
  <c r="S24" i="5" s="1"/>
  <c r="AF14" i="5"/>
  <c r="Y16" i="5"/>
  <c r="AJ14" i="5"/>
  <c r="AJ18" i="5" s="1"/>
  <c r="AF18" i="5" s="1"/>
  <c r="M101" i="6"/>
  <c r="O101" i="6" s="1"/>
  <c r="P101" i="6" s="1"/>
  <c r="M143" i="6"/>
  <c r="O143" i="6" s="1"/>
  <c r="P143" i="6" s="1"/>
  <c r="M124" i="6"/>
  <c r="O124" i="6" s="1"/>
  <c r="P124" i="6" s="1"/>
  <c r="U65" i="8"/>
  <c r="U64" i="8"/>
  <c r="U61" i="8"/>
  <c r="U59" i="8" s="1"/>
  <c r="N175" i="8"/>
  <c r="V175" i="8" s="1"/>
  <c r="W175" i="8" s="1"/>
  <c r="N201" i="8"/>
  <c r="V201" i="8" s="1"/>
  <c r="W201" i="8" s="1"/>
  <c r="N199" i="8"/>
  <c r="V199" i="8" s="1"/>
  <c r="W199" i="8" s="1"/>
  <c r="N173" i="8"/>
  <c r="V173" i="8" s="1"/>
  <c r="W173" i="8" s="1"/>
  <c r="AM27" i="5"/>
  <c r="AJ56" i="5" s="1"/>
  <c r="U74" i="5"/>
  <c r="U83" i="5" s="1"/>
  <c r="AK48" i="5"/>
  <c r="AK36" i="5"/>
  <c r="AK37" i="5" s="1"/>
  <c r="O138" i="8"/>
  <c r="O166" i="8"/>
  <c r="O192" i="8"/>
  <c r="K147" i="4"/>
  <c r="T147" i="4" s="1"/>
  <c r="U147" i="4" s="1"/>
  <c r="P135" i="4"/>
  <c r="P164" i="4"/>
  <c r="H104" i="4"/>
  <c r="H135" i="4"/>
  <c r="H163" i="4"/>
  <c r="H103" i="4"/>
  <c r="H134" i="4"/>
  <c r="H162" i="4"/>
  <c r="AO22" i="8"/>
  <c r="AO26" i="8"/>
  <c r="AO28" i="8" s="1"/>
  <c r="U38" i="8"/>
  <c r="I163" i="5"/>
  <c r="I136" i="5"/>
  <c r="AF13" i="5"/>
  <c r="P105" i="5"/>
  <c r="P163" i="5"/>
  <c r="U77" i="5"/>
  <c r="P106" i="5"/>
  <c r="P164" i="5"/>
  <c r="N107" i="5"/>
  <c r="N165" i="5"/>
  <c r="X165" i="5" s="1"/>
  <c r="Y165" i="5" s="1"/>
  <c r="I115" i="5"/>
  <c r="X115" i="5" s="1"/>
  <c r="Y115" i="5" s="1"/>
  <c r="I173" i="5"/>
  <c r="X173" i="5" s="1"/>
  <c r="Y173" i="5" s="1"/>
  <c r="I146" i="5"/>
  <c r="X146" i="5" s="1"/>
  <c r="Y146" i="5" s="1"/>
  <c r="I105" i="5"/>
  <c r="U71" i="4"/>
  <c r="U70" i="4"/>
  <c r="U72" i="4" s="1"/>
  <c r="C58" i="4"/>
  <c r="C59" i="4" s="1"/>
  <c r="C60" i="4" s="1"/>
  <c r="R104" i="4"/>
  <c r="P105" i="4"/>
  <c r="T105" i="4" s="1"/>
  <c r="U105" i="4" s="1"/>
  <c r="T164" i="4"/>
  <c r="U164" i="4" s="1"/>
  <c r="R103" i="4"/>
  <c r="K35" i="6"/>
  <c r="K37" i="6" s="1"/>
  <c r="Y19" i="5"/>
  <c r="Q82" i="5"/>
  <c r="AG42" i="5"/>
  <c r="AG43" i="5" s="1"/>
  <c r="AG40" i="5"/>
  <c r="AG41" i="5" s="1"/>
  <c r="AG36" i="5"/>
  <c r="X38" i="5"/>
  <c r="AC35" i="5"/>
  <c r="AC46" i="5" s="1"/>
  <c r="AC47" i="5" s="1"/>
  <c r="AC48" i="5" s="1"/>
  <c r="U136" i="5" s="1"/>
  <c r="U77" i="4"/>
  <c r="U79" i="4" s="1"/>
  <c r="S171" i="4" s="1"/>
  <c r="U76" i="4"/>
  <c r="U78" i="4" s="1"/>
  <c r="S170" i="4" s="1"/>
  <c r="AJ93" i="8"/>
  <c r="N145" i="8"/>
  <c r="V145" i="8" s="1"/>
  <c r="W145" i="8" s="1"/>
  <c r="AJ92" i="8"/>
  <c r="N147" i="8"/>
  <c r="V147" i="8" s="1"/>
  <c r="W147" i="8" s="1"/>
  <c r="AI50" i="8"/>
  <c r="AI51" i="8" s="1"/>
  <c r="AI56" i="8"/>
  <c r="AI57" i="8" s="1"/>
  <c r="AI58" i="8" s="1"/>
  <c r="X28" i="4"/>
  <c r="X29" i="4" s="1"/>
  <c r="AL28" i="4"/>
  <c r="AF27" i="4"/>
  <c r="T38" i="8"/>
  <c r="AT38" i="8"/>
  <c r="T64" i="8"/>
  <c r="T65" i="8"/>
  <c r="T61" i="8"/>
  <c r="I58" i="6"/>
  <c r="J58" i="6"/>
  <c r="K58" i="6"/>
  <c r="L58" i="6"/>
  <c r="J57" i="6"/>
  <c r="K57" i="6"/>
  <c r="N57" i="6" s="1"/>
  <c r="L57" i="6"/>
  <c r="I57" i="6"/>
  <c r="K61" i="6"/>
  <c r="I61" i="6"/>
  <c r="L61" i="6"/>
  <c r="O61" i="6" s="1"/>
  <c r="J61" i="6"/>
  <c r="J60" i="6"/>
  <c r="I60" i="6"/>
  <c r="K60" i="6"/>
  <c r="L60" i="6"/>
  <c r="O60" i="6" s="1"/>
  <c r="K59" i="6"/>
  <c r="I59" i="6"/>
  <c r="J59" i="6"/>
  <c r="L59" i="6"/>
  <c r="J56" i="6"/>
  <c r="K56" i="6"/>
  <c r="I56" i="6"/>
  <c r="L56" i="6"/>
  <c r="M104" i="8"/>
  <c r="H107" i="8"/>
  <c r="C92" i="8"/>
  <c r="C93" i="8" s="1"/>
  <c r="C94" i="8" s="1"/>
  <c r="U105" i="8"/>
  <c r="U106" i="8" s="1"/>
  <c r="U103" i="8"/>
  <c r="U109" i="8" s="1"/>
  <c r="Q111" i="8"/>
  <c r="Q112" i="8" s="1"/>
  <c r="Q109" i="8"/>
  <c r="Q110" i="8" s="1"/>
  <c r="Q105" i="8"/>
  <c r="AF13" i="4"/>
  <c r="AF15" i="4" s="1"/>
  <c r="AF18" i="4" s="1"/>
  <c r="AB22" i="4"/>
  <c r="AB32" i="4" s="1"/>
  <c r="AB33" i="4" s="1"/>
  <c r="M83" i="5"/>
  <c r="M75" i="5"/>
  <c r="M76" i="5" s="1"/>
  <c r="O167" i="5" s="1"/>
  <c r="X167" i="5" s="1"/>
  <c r="Y167" i="5" s="1"/>
  <c r="C63" i="5"/>
  <c r="Q58" i="5"/>
  <c r="Q59" i="5" s="1"/>
  <c r="Q61" i="5" s="1"/>
  <c r="Q56" i="4"/>
  <c r="Q57" i="4" s="1"/>
  <c r="Q59" i="4" s="1"/>
  <c r="C61" i="4"/>
  <c r="Q80" i="4"/>
  <c r="M81" i="4"/>
  <c r="M73" i="4"/>
  <c r="M74" i="4" s="1"/>
  <c r="Q169" i="4" s="1"/>
  <c r="S116" i="4"/>
  <c r="U84" i="5" l="1"/>
  <c r="AK34" i="5"/>
  <c r="AK40" i="5" s="1"/>
  <c r="AK42" i="5" s="1"/>
  <c r="AK45" i="5" s="1"/>
  <c r="AJ60" i="5" s="1"/>
  <c r="S26" i="5"/>
  <c r="S27" i="5" s="1"/>
  <c r="S28" i="5" s="1"/>
  <c r="J142" i="5"/>
  <c r="X142" i="5" s="1"/>
  <c r="Y142" i="5" s="1"/>
  <c r="J169" i="5"/>
  <c r="X169" i="5" s="1"/>
  <c r="Y169" i="5" s="1"/>
  <c r="J111" i="5"/>
  <c r="X111" i="5" s="1"/>
  <c r="Y111" i="5" s="1"/>
  <c r="AF16" i="5"/>
  <c r="AF19" i="5" s="1"/>
  <c r="AF15" i="5"/>
  <c r="AF17" i="5" s="1"/>
  <c r="U117" i="8"/>
  <c r="U116" i="8"/>
  <c r="U200" i="8" s="1"/>
  <c r="V200" i="8" s="1"/>
  <c r="W200" i="8" s="1"/>
  <c r="AP27" i="8"/>
  <c r="AP25" i="8"/>
  <c r="U82" i="4"/>
  <c r="U81" i="4"/>
  <c r="S173" i="4" s="1"/>
  <c r="T173" i="4" s="1"/>
  <c r="U173" i="4" s="1"/>
  <c r="T116" i="4"/>
  <c r="U116" i="4" s="1"/>
  <c r="J134" i="4"/>
  <c r="J103" i="4"/>
  <c r="T137" i="8"/>
  <c r="T191" i="8"/>
  <c r="O57" i="6"/>
  <c r="L137" i="8"/>
  <c r="L165" i="8"/>
  <c r="L191" i="8"/>
  <c r="AK43" i="5"/>
  <c r="W163" i="5" s="1"/>
  <c r="L107" i="4"/>
  <c r="T107" i="4" s="1"/>
  <c r="U107" i="4" s="1"/>
  <c r="L138" i="4"/>
  <c r="T138" i="4" s="1"/>
  <c r="U138" i="4" s="1"/>
  <c r="I134" i="4"/>
  <c r="I162" i="4"/>
  <c r="I103" i="4"/>
  <c r="Z38" i="8"/>
  <c r="Z40" i="8" s="1"/>
  <c r="T138" i="8"/>
  <c r="T192" i="8"/>
  <c r="I108" i="4"/>
  <c r="T108" i="4" s="1"/>
  <c r="U108" i="4" s="1"/>
  <c r="I167" i="4"/>
  <c r="T167" i="4" s="1"/>
  <c r="U167" i="4" s="1"/>
  <c r="I139" i="4"/>
  <c r="T139" i="4" s="1"/>
  <c r="U139" i="4" s="1"/>
  <c r="O134" i="4"/>
  <c r="O162" i="4"/>
  <c r="R139" i="8"/>
  <c r="V139" i="8" s="1"/>
  <c r="W139" i="8" s="1"/>
  <c r="R193" i="8"/>
  <c r="V193" i="8" s="1"/>
  <c r="W193" i="8" s="1"/>
  <c r="I137" i="8"/>
  <c r="I191" i="8"/>
  <c r="I165" i="8"/>
  <c r="I138" i="8"/>
  <c r="I166" i="8"/>
  <c r="I192" i="8"/>
  <c r="V105" i="5"/>
  <c r="H136" i="5"/>
  <c r="H163" i="5"/>
  <c r="U87" i="5"/>
  <c r="T107" i="5"/>
  <c r="X107" i="5" s="1"/>
  <c r="Y107" i="5" s="1"/>
  <c r="T138" i="5"/>
  <c r="X138" i="5" s="1"/>
  <c r="Y138" i="5" s="1"/>
  <c r="V106" i="5"/>
  <c r="U78" i="5"/>
  <c r="U80" i="5" s="1"/>
  <c r="U79" i="5"/>
  <c r="U81" i="5" s="1"/>
  <c r="M105" i="5"/>
  <c r="M136" i="5"/>
  <c r="M163" i="5"/>
  <c r="H105" i="5"/>
  <c r="S112" i="4"/>
  <c r="T112" i="4" s="1"/>
  <c r="U112" i="4" s="1"/>
  <c r="T171" i="4"/>
  <c r="U171" i="4" s="1"/>
  <c r="T143" i="4"/>
  <c r="U143" i="4" s="1"/>
  <c r="O103" i="4"/>
  <c r="S111" i="4"/>
  <c r="T111" i="4" s="1"/>
  <c r="U111" i="4" s="1"/>
  <c r="T170" i="4"/>
  <c r="U170" i="4" s="1"/>
  <c r="T142" i="4"/>
  <c r="U142" i="4" s="1"/>
  <c r="T145" i="4"/>
  <c r="U145" i="4" s="1"/>
  <c r="Q110" i="4"/>
  <c r="T110" i="4" s="1"/>
  <c r="U110" i="4" s="1"/>
  <c r="T169" i="4"/>
  <c r="U169" i="4" s="1"/>
  <c r="AG45" i="5"/>
  <c r="O109" i="5"/>
  <c r="U105" i="5"/>
  <c r="AC38" i="5"/>
  <c r="AC39" i="5" s="1"/>
  <c r="AJ25" i="4"/>
  <c r="AJ26" i="4" s="1"/>
  <c r="AJ33" i="4"/>
  <c r="AJ40" i="4" s="1"/>
  <c r="AJ42" i="4" s="1"/>
  <c r="U110" i="8"/>
  <c r="U112" i="8" s="1"/>
  <c r="U111" i="8"/>
  <c r="U113" i="8" s="1"/>
  <c r="T59" i="8"/>
  <c r="Q114" i="8"/>
  <c r="N58" i="6"/>
  <c r="I72" i="6" s="1"/>
  <c r="O58" i="6"/>
  <c r="N60" i="6"/>
  <c r="J74" i="6" s="1"/>
  <c r="AP23" i="8"/>
  <c r="Y57" i="8" s="1"/>
  <c r="AB61" i="8"/>
  <c r="Z61" i="8"/>
  <c r="Y61" i="8"/>
  <c r="AA61" i="8"/>
  <c r="AD61" i="8" s="1"/>
  <c r="AB59" i="8"/>
  <c r="Z59" i="8"/>
  <c r="Y59" i="8"/>
  <c r="AA59" i="8"/>
  <c r="AD59" i="8" s="1"/>
  <c r="AP22" i="8"/>
  <c r="AJ89" i="8" s="1"/>
  <c r="AP24" i="8"/>
  <c r="AP26" i="8"/>
  <c r="Y38" i="8"/>
  <c r="I62" i="6"/>
  <c r="I63" i="6" s="1"/>
  <c r="O59" i="6"/>
  <c r="L62" i="6"/>
  <c r="L63" i="6" s="1"/>
  <c r="O56" i="6"/>
  <c r="K62" i="6"/>
  <c r="K63" i="6" s="1"/>
  <c r="N56" i="6"/>
  <c r="J70" i="6" s="1"/>
  <c r="J62" i="6"/>
  <c r="J63" i="6" s="1"/>
  <c r="M56" i="6"/>
  <c r="K73" i="6"/>
  <c r="L73" i="6"/>
  <c r="J73" i="6"/>
  <c r="M59" i="6"/>
  <c r="M60" i="6"/>
  <c r="N61" i="6"/>
  <c r="I75" i="6" s="1"/>
  <c r="I71" i="6"/>
  <c r="L71" i="6"/>
  <c r="K71" i="6"/>
  <c r="J71" i="6"/>
  <c r="M57" i="6"/>
  <c r="M71" i="6"/>
  <c r="M58" i="6"/>
  <c r="N59" i="6"/>
  <c r="M73" i="6" s="1"/>
  <c r="M61" i="6"/>
  <c r="Q90" i="8"/>
  <c r="Q91" i="8" s="1"/>
  <c r="Q93" i="8" s="1"/>
  <c r="C95" i="8"/>
  <c r="M115" i="8"/>
  <c r="M107" i="8"/>
  <c r="M108" i="8" s="1"/>
  <c r="S141" i="8" s="1"/>
  <c r="V141" i="8" s="1"/>
  <c r="W141" i="8" s="1"/>
  <c r="U146" i="8"/>
  <c r="V146" i="8" s="1"/>
  <c r="W146" i="8" s="1"/>
  <c r="U91" i="5"/>
  <c r="C64" i="5"/>
  <c r="C67" i="5" s="1"/>
  <c r="C62" i="4"/>
  <c r="C65" i="4" s="1"/>
  <c r="J112" i="5" l="1"/>
  <c r="X112" i="5" s="1"/>
  <c r="Y112" i="5" s="1"/>
  <c r="J143" i="5"/>
  <c r="X143" i="5" s="1"/>
  <c r="Y143" i="5" s="1"/>
  <c r="J170" i="5"/>
  <c r="X170" i="5" s="1"/>
  <c r="Y170" i="5" s="1"/>
  <c r="J141" i="5"/>
  <c r="X141" i="5" s="1"/>
  <c r="Y141" i="5" s="1"/>
  <c r="J168" i="5"/>
  <c r="X168" i="5" s="1"/>
  <c r="Y168" i="5" s="1"/>
  <c r="J110" i="5"/>
  <c r="X110" i="5" s="1"/>
  <c r="Y110" i="5" s="1"/>
  <c r="S29" i="5"/>
  <c r="S30" i="5" s="1"/>
  <c r="S33" i="5" s="1"/>
  <c r="AG24" i="5"/>
  <c r="AG25" i="5" s="1"/>
  <c r="AG27" i="5" s="1"/>
  <c r="AO39" i="5"/>
  <c r="AO41" i="5" s="1"/>
  <c r="W144" i="5" s="1"/>
  <c r="X144" i="5" s="1"/>
  <c r="Y144" i="5" s="1"/>
  <c r="AO40" i="5"/>
  <c r="AO42" i="5" s="1"/>
  <c r="W114" i="5" s="1"/>
  <c r="X114" i="5" s="1"/>
  <c r="Y114" i="5" s="1"/>
  <c r="W136" i="5"/>
  <c r="AJ59" i="5"/>
  <c r="AJ65" i="5" s="1"/>
  <c r="W116" i="5"/>
  <c r="X116" i="5" s="1"/>
  <c r="Y116" i="5" s="1"/>
  <c r="L103" i="4"/>
  <c r="L134" i="4"/>
  <c r="W105" i="5"/>
  <c r="AJ34" i="4"/>
  <c r="W174" i="5"/>
  <c r="X174" i="5" s="1"/>
  <c r="Y174" i="5" s="1"/>
  <c r="S162" i="4"/>
  <c r="T162" i="4" s="1"/>
  <c r="S103" i="4"/>
  <c r="Q137" i="8"/>
  <c r="Q191" i="8"/>
  <c r="Q165" i="8"/>
  <c r="W148" i="5"/>
  <c r="X148" i="5" s="1"/>
  <c r="Y148" i="5" s="1"/>
  <c r="L74" i="6"/>
  <c r="AA57" i="8"/>
  <c r="W147" i="5"/>
  <c r="X147" i="5" s="1"/>
  <c r="Y147" i="5" s="1"/>
  <c r="Z57" i="8"/>
  <c r="U85" i="4"/>
  <c r="S174" i="4" s="1"/>
  <c r="T174" i="4" s="1"/>
  <c r="U174" i="4" s="1"/>
  <c r="I74" i="6"/>
  <c r="U89" i="4"/>
  <c r="AJ57" i="4" s="1"/>
  <c r="U144" i="8"/>
  <c r="V144" i="8" s="1"/>
  <c r="W144" i="8" s="1"/>
  <c r="U198" i="8"/>
  <c r="V198" i="8" s="1"/>
  <c r="W198" i="8" s="1"/>
  <c r="M74" i="6"/>
  <c r="AB57" i="8"/>
  <c r="K74" i="6"/>
  <c r="U143" i="8"/>
  <c r="V143" i="8" s="1"/>
  <c r="W143" i="8" s="1"/>
  <c r="U197" i="8"/>
  <c r="V197" i="8" s="1"/>
  <c r="W197" i="8" s="1"/>
  <c r="S114" i="4"/>
  <c r="T114" i="4" s="1"/>
  <c r="U114" i="4" s="1"/>
  <c r="U191" i="8"/>
  <c r="U137" i="8"/>
  <c r="W172" i="5"/>
  <c r="X172" i="5" s="1"/>
  <c r="Y172" i="5" s="1"/>
  <c r="W171" i="5"/>
  <c r="X171" i="5" s="1"/>
  <c r="Y171" i="5" s="1"/>
  <c r="W113" i="5"/>
  <c r="X113" i="5" s="1"/>
  <c r="Y113" i="5" s="1"/>
  <c r="W175" i="5"/>
  <c r="X175" i="5" s="1"/>
  <c r="Y175" i="5" s="1"/>
  <c r="U109" i="5"/>
  <c r="X109" i="5" s="1"/>
  <c r="Y109" i="5" s="1"/>
  <c r="U140" i="5"/>
  <c r="X140" i="5" s="1"/>
  <c r="Y140" i="5" s="1"/>
  <c r="T146" i="4"/>
  <c r="U146" i="4" s="1"/>
  <c r="M72" i="6"/>
  <c r="L72" i="6"/>
  <c r="K72" i="6"/>
  <c r="J72" i="6"/>
  <c r="W117" i="5"/>
  <c r="X117" i="5" s="1"/>
  <c r="Y117" i="5" s="1"/>
  <c r="I70" i="6"/>
  <c r="M70" i="6"/>
  <c r="K70" i="6"/>
  <c r="L70" i="6"/>
  <c r="AD57" i="8"/>
  <c r="AC71" i="8" s="1"/>
  <c r="AB56" i="8"/>
  <c r="AA56" i="8"/>
  <c r="Z56" i="8"/>
  <c r="Y56" i="8"/>
  <c r="Z58" i="8"/>
  <c r="AA58" i="8"/>
  <c r="Y58" i="8"/>
  <c r="AB58" i="8"/>
  <c r="AE59" i="8"/>
  <c r="Y60" i="8"/>
  <c r="AB60" i="8"/>
  <c r="AA60" i="8"/>
  <c r="Z60" i="8"/>
  <c r="AT42" i="8"/>
  <c r="AT43" i="8" s="1"/>
  <c r="AT44" i="8" s="1"/>
  <c r="AT46" i="8" s="1"/>
  <c r="AE57" i="8"/>
  <c r="AC61" i="8"/>
  <c r="Z75" i="8"/>
  <c r="AA75" i="8"/>
  <c r="Y75" i="8"/>
  <c r="AC75" i="8"/>
  <c r="AB75" i="8"/>
  <c r="AA38" i="8"/>
  <c r="AA40" i="8" s="1"/>
  <c r="Y40" i="8"/>
  <c r="Z73" i="8"/>
  <c r="AA73" i="8"/>
  <c r="AC73" i="8"/>
  <c r="AC59" i="8"/>
  <c r="Y73" i="8"/>
  <c r="AB73" i="8"/>
  <c r="AA71" i="8"/>
  <c r="AC57" i="8"/>
  <c r="AE61" i="8"/>
  <c r="J75" i="6"/>
  <c r="M75" i="6"/>
  <c r="I73" i="6"/>
  <c r="J76" i="6"/>
  <c r="J77" i="6" s="1"/>
  <c r="K75" i="6"/>
  <c r="L75" i="6"/>
  <c r="U123" i="8"/>
  <c r="U120" i="8"/>
  <c r="U202" i="8" s="1"/>
  <c r="V202" i="8" s="1"/>
  <c r="W202" i="8" s="1"/>
  <c r="C96" i="8"/>
  <c r="C99" i="8" s="1"/>
  <c r="C65" i="5"/>
  <c r="I61" i="5" s="1"/>
  <c r="I62" i="5" s="1"/>
  <c r="I64" i="5" s="1"/>
  <c r="C63" i="4"/>
  <c r="I59" i="4" s="1"/>
  <c r="I60" i="4" s="1"/>
  <c r="I62" i="4" s="1"/>
  <c r="S115" i="4"/>
  <c r="AJ63" i="5" l="1"/>
  <c r="AJ64" i="5" s="1"/>
  <c r="S163" i="5"/>
  <c r="X163" i="5" s="1"/>
  <c r="S136" i="5"/>
  <c r="X136" i="5" s="1"/>
  <c r="Y136" i="5" s="1"/>
  <c r="S105" i="5"/>
  <c r="X105" i="5" s="1"/>
  <c r="S31" i="5"/>
  <c r="Y27" i="5" s="1"/>
  <c r="Y28" i="5" s="1"/>
  <c r="Y30" i="5" s="1"/>
  <c r="R164" i="5" s="1"/>
  <c r="W145" i="5"/>
  <c r="X145" i="5" s="1"/>
  <c r="Y145" i="5" s="1"/>
  <c r="X155" i="5" s="1"/>
  <c r="M142" i="8"/>
  <c r="V142" i="8" s="1"/>
  <c r="W142" i="8" s="1"/>
  <c r="M170" i="8"/>
  <c r="V170" i="8" s="1"/>
  <c r="W170" i="8" s="1"/>
  <c r="M196" i="8"/>
  <c r="V196" i="8" s="1"/>
  <c r="W196" i="8" s="1"/>
  <c r="X149" i="5"/>
  <c r="X150" i="5" s="1"/>
  <c r="T176" i="4"/>
  <c r="T177" i="4" s="1"/>
  <c r="U162" i="4"/>
  <c r="K103" i="4"/>
  <c r="T103" i="4" s="1"/>
  <c r="K134" i="4"/>
  <c r="T134" i="4" s="1"/>
  <c r="N135" i="4"/>
  <c r="T135" i="4" s="1"/>
  <c r="T150" i="4" s="1"/>
  <c r="T151" i="4" s="1"/>
  <c r="N163" i="4"/>
  <c r="T163" i="4" s="1"/>
  <c r="T178" i="4" s="1"/>
  <c r="AE58" i="8"/>
  <c r="M76" i="6"/>
  <c r="S38" i="6" s="1"/>
  <c r="X118" i="5"/>
  <c r="Y105" i="5"/>
  <c r="X124" i="5" s="1"/>
  <c r="AB124" i="5" s="1"/>
  <c r="Y71" i="8"/>
  <c r="AB71" i="8"/>
  <c r="AJ58" i="4"/>
  <c r="L137" i="5"/>
  <c r="L164" i="5"/>
  <c r="T182" i="4"/>
  <c r="N104" i="4"/>
  <c r="T104" i="4" s="1"/>
  <c r="T119" i="4" s="1"/>
  <c r="Z71" i="8"/>
  <c r="U148" i="8"/>
  <c r="V148" i="8" s="1"/>
  <c r="AJ96" i="8"/>
  <c r="AJ99" i="8" s="1"/>
  <c r="AJ100" i="8" s="1"/>
  <c r="L106" i="5"/>
  <c r="W148" i="8"/>
  <c r="K76" i="6"/>
  <c r="K77" i="6" s="1"/>
  <c r="I76" i="6"/>
  <c r="I77" i="6" s="1"/>
  <c r="L76" i="6"/>
  <c r="T115" i="4"/>
  <c r="AC60" i="8"/>
  <c r="AA62" i="8"/>
  <c r="AA63" i="8" s="1"/>
  <c r="AD58" i="8"/>
  <c r="AC72" i="8" s="1"/>
  <c r="AC56" i="8"/>
  <c r="Z62" i="8"/>
  <c r="Z63" i="8" s="1"/>
  <c r="AD56" i="8"/>
  <c r="AB70" i="8" s="1"/>
  <c r="AD60" i="8"/>
  <c r="Z74" i="8" s="1"/>
  <c r="Y62" i="8"/>
  <c r="Y63" i="8" s="1"/>
  <c r="AE56" i="8"/>
  <c r="AB62" i="8"/>
  <c r="AB63" i="8" s="1"/>
  <c r="AE60" i="8"/>
  <c r="AC58" i="8"/>
  <c r="S59" i="6"/>
  <c r="M77" i="6"/>
  <c r="C97" i="8"/>
  <c r="I93" i="8" s="1"/>
  <c r="I94" i="8" s="1"/>
  <c r="I96" i="8" s="1"/>
  <c r="R106" i="5" l="1"/>
  <c r="R137" i="5"/>
  <c r="Y163" i="5"/>
  <c r="X182" i="5" s="1"/>
  <c r="X176" i="5"/>
  <c r="X177" i="5" s="1"/>
  <c r="X106" i="5"/>
  <c r="X120" i="5" s="1"/>
  <c r="AB120" i="5" s="1"/>
  <c r="T148" i="4"/>
  <c r="U134" i="4"/>
  <c r="J100" i="6"/>
  <c r="J123" i="6"/>
  <c r="J142" i="6"/>
  <c r="T117" i="4"/>
  <c r="U103" i="4"/>
  <c r="Z72" i="8"/>
  <c r="AJ101" i="8"/>
  <c r="AB118" i="5"/>
  <c r="X119" i="5"/>
  <c r="AB119" i="5" s="1"/>
  <c r="P138" i="8"/>
  <c r="P192" i="8"/>
  <c r="P166" i="8"/>
  <c r="AJ63" i="4"/>
  <c r="AJ61" i="4"/>
  <c r="AJ62" i="4" s="1"/>
  <c r="T120" i="4"/>
  <c r="X120" i="4" s="1"/>
  <c r="X119" i="4"/>
  <c r="H100" i="6"/>
  <c r="H123" i="6"/>
  <c r="H142" i="6"/>
  <c r="X164" i="5"/>
  <c r="X178" i="5" s="1"/>
  <c r="X137" i="5"/>
  <c r="X151" i="5" s="1"/>
  <c r="X122" i="5"/>
  <c r="AB122" i="5" s="1"/>
  <c r="T179" i="4"/>
  <c r="T181" i="4" s="1"/>
  <c r="T180" i="4"/>
  <c r="AB72" i="8"/>
  <c r="Y72" i="8"/>
  <c r="U115" i="4"/>
  <c r="T123" i="4" s="1"/>
  <c r="X123" i="4" s="1"/>
  <c r="S63" i="6"/>
  <c r="X47" i="6" s="1"/>
  <c r="L77" i="6"/>
  <c r="I79" i="6"/>
  <c r="AC70" i="8"/>
  <c r="Y70" i="8"/>
  <c r="AA70" i="8"/>
  <c r="Z70" i="8"/>
  <c r="AB74" i="8"/>
  <c r="AA72" i="8"/>
  <c r="Y74" i="8"/>
  <c r="AA74" i="8"/>
  <c r="AC74" i="8"/>
  <c r="X48" i="6"/>
  <c r="X49" i="6" s="1"/>
  <c r="X50" i="6" s="1"/>
  <c r="AB17" i="1"/>
  <c r="AB12" i="1"/>
  <c r="X27" i="1"/>
  <c r="M83" i="1"/>
  <c r="T30" i="1"/>
  <c r="T26" i="1"/>
  <c r="T34" i="1" s="1"/>
  <c r="Q58" i="1"/>
  <c r="M59" i="1"/>
  <c r="I61" i="1"/>
  <c r="I58" i="1"/>
  <c r="G10" i="1"/>
  <c r="G11" i="1"/>
  <c r="G33" i="1"/>
  <c r="G31" i="1"/>
  <c r="K10" i="1"/>
  <c r="K11" i="1" s="1"/>
  <c r="G35" i="1"/>
  <c r="X121" i="5" l="1"/>
  <c r="K100" i="6"/>
  <c r="K142" i="6"/>
  <c r="K123" i="6"/>
  <c r="O123" i="6" s="1"/>
  <c r="O156" i="1"/>
  <c r="O142" i="6"/>
  <c r="X117" i="4"/>
  <c r="T118" i="4"/>
  <c r="T121" i="4"/>
  <c r="X121" i="4" s="1"/>
  <c r="AB76" i="8"/>
  <c r="AB77" i="8" s="1"/>
  <c r="Z76" i="8"/>
  <c r="Z77" i="8" s="1"/>
  <c r="T152" i="4"/>
  <c r="T149" i="4"/>
  <c r="T153" i="4" s="1"/>
  <c r="X123" i="5"/>
  <c r="AB123" i="5" s="1"/>
  <c r="AB121" i="5"/>
  <c r="X152" i="5"/>
  <c r="X154" i="5" s="1"/>
  <c r="X153" i="5"/>
  <c r="X179" i="5"/>
  <c r="X181" i="5" s="1"/>
  <c r="X180" i="5"/>
  <c r="G32" i="1"/>
  <c r="G36" i="1"/>
  <c r="F158" i="1"/>
  <c r="F133" i="1"/>
  <c r="F105" i="1"/>
  <c r="O103" i="1"/>
  <c r="G34" i="1"/>
  <c r="G37" i="1"/>
  <c r="X56" i="6"/>
  <c r="O100" i="6"/>
  <c r="AL35" i="6" s="1"/>
  <c r="Y79" i="8"/>
  <c r="AC76" i="8"/>
  <c r="AA76" i="8"/>
  <c r="AA77" i="8" s="1"/>
  <c r="Y76" i="8"/>
  <c r="Y77" i="8" s="1"/>
  <c r="G39" i="1"/>
  <c r="J39" i="1" s="1"/>
  <c r="O10" i="1"/>
  <c r="K33" i="1"/>
  <c r="K34" i="1" s="1"/>
  <c r="T122" i="4" l="1"/>
  <c r="X122" i="4" s="1"/>
  <c r="X118" i="4"/>
  <c r="P142" i="6"/>
  <c r="O149" i="6"/>
  <c r="O150" i="6" s="1"/>
  <c r="P123" i="6"/>
  <c r="O130" i="6"/>
  <c r="O131" i="6" s="1"/>
  <c r="K99" i="6"/>
  <c r="O99" i="6" s="1"/>
  <c r="P99" i="6" s="1"/>
  <c r="O111" i="6" s="1"/>
  <c r="S111" i="6" s="1"/>
  <c r="K122" i="6"/>
  <c r="O122" i="6" s="1"/>
  <c r="K141" i="6"/>
  <c r="O141" i="6" s="1"/>
  <c r="O11" i="1"/>
  <c r="AL34" i="6"/>
  <c r="P100" i="6"/>
  <c r="O107" i="6"/>
  <c r="AC77" i="8"/>
  <c r="AI41" i="8"/>
  <c r="G40" i="1"/>
  <c r="U90" i="1"/>
  <c r="K163" i="1" s="1"/>
  <c r="J40" i="1"/>
  <c r="G41" i="1"/>
  <c r="J41" i="1" s="1"/>
  <c r="P122" i="6" l="1"/>
  <c r="O134" i="6" s="1"/>
  <c r="O128" i="6"/>
  <c r="P141" i="6"/>
  <c r="O153" i="6" s="1"/>
  <c r="O147" i="6"/>
  <c r="H192" i="8"/>
  <c r="H166" i="8"/>
  <c r="O105" i="6"/>
  <c r="S105" i="6" s="1"/>
  <c r="O108" i="6"/>
  <c r="S108" i="6" s="1"/>
  <c r="S107" i="6"/>
  <c r="R163" i="1"/>
  <c r="S163" i="1" s="1"/>
  <c r="AJ56" i="1"/>
  <c r="O109" i="6"/>
  <c r="S109" i="6" s="1"/>
  <c r="AI68" i="8"/>
  <c r="H138" i="8"/>
  <c r="AL43" i="6"/>
  <c r="AL44" i="6" s="1"/>
  <c r="AL45" i="6"/>
  <c r="K110" i="1"/>
  <c r="G42" i="1"/>
  <c r="J42" i="1"/>
  <c r="O151" i="6" l="1"/>
  <c r="O148" i="6"/>
  <c r="O152" i="6" s="1"/>
  <c r="J166" i="8"/>
  <c r="J192" i="8"/>
  <c r="O132" i="6"/>
  <c r="O129" i="6"/>
  <c r="O133" i="6" s="1"/>
  <c r="O106" i="6"/>
  <c r="W58" i="1"/>
  <c r="AJ55" i="1" s="1"/>
  <c r="AI72" i="8"/>
  <c r="J138" i="8"/>
  <c r="W59" i="1" l="1"/>
  <c r="AJ54" i="1" s="1"/>
  <c r="K192" i="8"/>
  <c r="V192" i="8" s="1"/>
  <c r="K166" i="8"/>
  <c r="V166" i="8" s="1"/>
  <c r="O110" i="6"/>
  <c r="S110" i="6" s="1"/>
  <c r="S106" i="6"/>
  <c r="Q70" i="1"/>
  <c r="Q75" i="1" s="1"/>
  <c r="Q76" i="1" s="1"/>
  <c r="P156" i="1" s="1"/>
  <c r="W60" i="1"/>
  <c r="H73" i="1" s="1"/>
  <c r="N158" i="1" s="1"/>
  <c r="K138" i="8"/>
  <c r="V138" i="8" s="1"/>
  <c r="W138" i="8" s="1"/>
  <c r="AN50" i="8"/>
  <c r="AN59" i="8" s="1"/>
  <c r="AN51" i="8"/>
  <c r="AN52" i="8" s="1"/>
  <c r="AN53" i="8" s="1"/>
  <c r="M70" i="1"/>
  <c r="M81" i="1" s="1"/>
  <c r="W166" i="8" l="1"/>
  <c r="V179" i="8"/>
  <c r="V180" i="8" s="1"/>
  <c r="W192" i="8"/>
  <c r="V205" i="8"/>
  <c r="V206" i="8" s="1"/>
  <c r="M73" i="1"/>
  <c r="M74" i="1" s="1"/>
  <c r="O160" i="1" s="1"/>
  <c r="R160" i="1" s="1"/>
  <c r="S160" i="1" s="1"/>
  <c r="Q77" i="1"/>
  <c r="Q78" i="1" s="1"/>
  <c r="P157" i="1" s="1"/>
  <c r="Q71" i="1"/>
  <c r="K137" i="8"/>
  <c r="V137" i="8" s="1"/>
  <c r="W137" i="8" s="1"/>
  <c r="V155" i="8" s="1"/>
  <c r="AB155" i="8" s="1"/>
  <c r="K191" i="8"/>
  <c r="V191" i="8" s="1"/>
  <c r="K165" i="8"/>
  <c r="V165" i="8" s="1"/>
  <c r="V149" i="8"/>
  <c r="AB149" i="8" s="1"/>
  <c r="P103" i="1"/>
  <c r="N105" i="1"/>
  <c r="V151" i="8"/>
  <c r="Q80" i="1"/>
  <c r="V152" i="8" l="1"/>
  <c r="AB152" i="8" s="1"/>
  <c r="AB151" i="8"/>
  <c r="W165" i="8"/>
  <c r="V183" i="8" s="1"/>
  <c r="V177" i="8"/>
  <c r="V150" i="8"/>
  <c r="AB150" i="8" s="1"/>
  <c r="W191" i="8"/>
  <c r="V209" i="8" s="1"/>
  <c r="V203" i="8"/>
  <c r="P104" i="1"/>
  <c r="O107" i="1"/>
  <c r="R107" i="1" s="1"/>
  <c r="S107" i="1" s="1"/>
  <c r="V153" i="8"/>
  <c r="AB153" i="8" s="1"/>
  <c r="V154" i="8"/>
  <c r="AB154" i="8" s="1"/>
  <c r="K8" i="1"/>
  <c r="O8" i="1" s="1"/>
  <c r="O16" i="1" s="1"/>
  <c r="O17" i="1" s="1"/>
  <c r="V207" i="8" l="1"/>
  <c r="V204" i="8"/>
  <c r="V208" i="8" s="1"/>
  <c r="V178" i="8"/>
  <c r="V182" i="8" s="1"/>
  <c r="V181" i="8"/>
  <c r="O9" i="1"/>
  <c r="X8" i="1" s="1"/>
  <c r="O13" i="1"/>
  <c r="T9" i="1" s="1"/>
  <c r="K13" i="1"/>
  <c r="K9" i="1"/>
  <c r="H158" i="1" l="1"/>
  <c r="H133" i="1"/>
  <c r="H105" i="1"/>
  <c r="G105" i="1"/>
  <c r="R105" i="1" s="1"/>
  <c r="S105" i="1" s="1"/>
  <c r="G158" i="1"/>
  <c r="R158" i="1" s="1"/>
  <c r="S158" i="1" s="1"/>
  <c r="G133" i="1"/>
  <c r="R133" i="1" s="1"/>
  <c r="S133" i="1" s="1"/>
  <c r="K14" i="1"/>
  <c r="F106" i="1" s="1"/>
  <c r="R106" i="1" s="1"/>
  <c r="S106" i="1" s="1"/>
  <c r="AF9" i="1"/>
  <c r="I138" i="1" s="1"/>
  <c r="AB11" i="1"/>
  <c r="AF8" i="1" s="1"/>
  <c r="Q166" i="1" s="1"/>
  <c r="T10" i="1"/>
  <c r="T17" i="1" s="1"/>
  <c r="T35" i="1"/>
  <c r="T37" i="1" s="1"/>
  <c r="T38" i="1" s="1"/>
  <c r="X9" i="1"/>
  <c r="K35" i="1"/>
  <c r="G43" i="1" s="1"/>
  <c r="G46" i="1" s="1"/>
  <c r="G47" i="1" s="1"/>
  <c r="F134" i="1" l="1"/>
  <c r="R134" i="1" s="1"/>
  <c r="S134" i="1" s="1"/>
  <c r="F159" i="1"/>
  <c r="R159" i="1" s="1"/>
  <c r="S159" i="1" s="1"/>
  <c r="R138" i="1"/>
  <c r="S138" i="1" s="1"/>
  <c r="I110" i="1"/>
  <c r="R110" i="1" s="1"/>
  <c r="S110" i="1" s="1"/>
  <c r="Q113" i="1"/>
  <c r="R113" i="1" s="1"/>
  <c r="S113" i="1" s="1"/>
  <c r="R166" i="1"/>
  <c r="S166" i="1" s="1"/>
  <c r="C56" i="1"/>
  <c r="M57" i="1"/>
  <c r="M58" i="1" s="1"/>
  <c r="M60" i="1" s="1"/>
  <c r="X12" i="1"/>
  <c r="T18" i="1"/>
  <c r="T20" i="1"/>
  <c r="T21" i="1" s="1"/>
  <c r="H156" i="1" l="1"/>
  <c r="H131" i="1"/>
  <c r="H157" i="1"/>
  <c r="H132" i="1"/>
  <c r="K157" i="1"/>
  <c r="K132" i="1"/>
  <c r="H103" i="1"/>
  <c r="K104" i="1"/>
  <c r="H104" i="1"/>
  <c r="U70" i="1"/>
  <c r="U71" i="1"/>
  <c r="X22" i="1"/>
  <c r="X21" i="1"/>
  <c r="AB14" i="1"/>
  <c r="AB13" i="1"/>
  <c r="AB15" i="1" s="1"/>
  <c r="AB16" i="1" s="1"/>
  <c r="AB18" i="1" s="1"/>
  <c r="C58" i="1"/>
  <c r="C59" i="1" s="1"/>
  <c r="C60" i="1" s="1"/>
  <c r="U69" i="1"/>
  <c r="U75" i="1" s="1"/>
  <c r="U72" i="1" l="1"/>
  <c r="U77" i="1"/>
  <c r="U79" i="1" s="1"/>
  <c r="R109" i="1" s="1"/>
  <c r="S109" i="1" s="1"/>
  <c r="U76" i="1"/>
  <c r="U78" i="1" s="1"/>
  <c r="R108" i="1" s="1"/>
  <c r="S108" i="1" s="1"/>
  <c r="AB19" i="1"/>
  <c r="J103" i="1" s="1"/>
  <c r="X23" i="1"/>
  <c r="X24" i="1" s="1"/>
  <c r="C61" i="1"/>
  <c r="Q56" i="1"/>
  <c r="Q57" i="1" s="1"/>
  <c r="Q59" i="1" s="1"/>
  <c r="U81" i="1" l="1"/>
  <c r="Q164" i="1" s="1"/>
  <c r="U82" i="1"/>
  <c r="M131" i="1"/>
  <c r="M156" i="1"/>
  <c r="J131" i="1"/>
  <c r="M103" i="1"/>
  <c r="X26" i="1"/>
  <c r="X29" i="1" s="1"/>
  <c r="I131" i="1" s="1"/>
  <c r="R132" i="1" s="1"/>
  <c r="X25" i="1"/>
  <c r="X28" i="1" s="1"/>
  <c r="I132" i="1" s="1"/>
  <c r="R164" i="1"/>
  <c r="S164" i="1" s="1"/>
  <c r="C62" i="1"/>
  <c r="C65" i="1" s="1"/>
  <c r="C63" i="1"/>
  <c r="I59" i="1" s="1"/>
  <c r="I60" i="1" s="1"/>
  <c r="I62" i="1" s="1"/>
  <c r="L132" i="1" l="1"/>
  <c r="L157" i="1"/>
  <c r="Q103" i="1"/>
  <c r="Q156" i="1"/>
  <c r="R156" i="1" s="1"/>
  <c r="S156" i="1" s="1"/>
  <c r="I103" i="1"/>
  <c r="R131" i="1"/>
  <c r="S131" i="1" s="1"/>
  <c r="I104" i="1"/>
  <c r="R144" i="1"/>
  <c r="R145" i="1" s="1"/>
  <c r="L104" i="1"/>
  <c r="R157" i="1"/>
  <c r="R169" i="1" s="1"/>
  <c r="R170" i="1" s="1"/>
  <c r="R167" i="1"/>
  <c r="Q111" i="1"/>
  <c r="R111" i="1" s="1"/>
  <c r="S111" i="1" s="1"/>
  <c r="U89" i="1"/>
  <c r="AJ57" i="1" s="1"/>
  <c r="U85" i="1"/>
  <c r="Q165" i="1" s="1"/>
  <c r="R171" i="1" l="1"/>
  <c r="R168" i="1"/>
  <c r="R172" i="1" s="1"/>
  <c r="R104" i="1"/>
  <c r="R116" i="1" s="1"/>
  <c r="R148" i="1"/>
  <c r="R142" i="1"/>
  <c r="R103" i="1"/>
  <c r="S103" i="1" s="1"/>
  <c r="AJ58" i="1"/>
  <c r="R165" i="1"/>
  <c r="S165" i="1" s="1"/>
  <c r="R173" i="1" s="1"/>
  <c r="AJ63" i="1"/>
  <c r="AJ61" i="1"/>
  <c r="AJ62" i="1" s="1"/>
  <c r="Q112" i="1"/>
  <c r="R112" i="1" s="1"/>
  <c r="S112" i="1" s="1"/>
  <c r="R117" i="1" l="1"/>
  <c r="V117" i="1" s="1"/>
  <c r="V116" i="1"/>
  <c r="R120" i="1"/>
  <c r="V120" i="1" s="1"/>
  <c r="R114" i="1"/>
  <c r="V114" i="1" s="1"/>
  <c r="R146" i="1"/>
  <c r="R143" i="1"/>
  <c r="R147" i="1" s="1"/>
  <c r="C8" i="1"/>
  <c r="R115" i="1" l="1"/>
  <c r="R118" i="1"/>
  <c r="V118" i="1" s="1"/>
  <c r="R119" i="1" l="1"/>
  <c r="V119" i="1" s="1"/>
  <c r="V115" i="1"/>
</calcChain>
</file>

<file path=xl/sharedStrings.xml><?xml version="1.0" encoding="utf-8"?>
<sst xmlns="http://schemas.openxmlformats.org/spreadsheetml/2006/main" count="3996" uniqueCount="820">
  <si>
    <t>PLA</t>
  </si>
  <si>
    <t>PLA</t>
    <phoneticPr fontId="3" type="noConversion"/>
  </si>
  <si>
    <t>FW</t>
    <phoneticPr fontId="3" type="noConversion"/>
  </si>
  <si>
    <t>Kg/d</t>
  </si>
  <si>
    <t>Kg/d</t>
    <phoneticPr fontId="3" type="noConversion"/>
  </si>
  <si>
    <t>Kg/hr</t>
    <phoneticPr fontId="3" type="noConversion"/>
  </si>
  <si>
    <t>Kd/hr</t>
    <phoneticPr fontId="3" type="noConversion"/>
  </si>
  <si>
    <t>0. Material reciving</t>
    <phoneticPr fontId="3" type="noConversion"/>
  </si>
  <si>
    <t>1. Separation &amp; Washing Process</t>
    <phoneticPr fontId="3" type="noConversion"/>
  </si>
  <si>
    <t>1-1. Shreading &amp; Separation</t>
    <phoneticPr fontId="3" type="noConversion"/>
  </si>
  <si>
    <t>mm</t>
    <phoneticPr fontId="3" type="noConversion"/>
  </si>
  <si>
    <t>%</t>
  </si>
  <si>
    <t>%</t>
    <phoneticPr fontId="3" type="noConversion"/>
  </si>
  <si>
    <t>L/d</t>
    <phoneticPr fontId="3" type="noConversion"/>
  </si>
  <si>
    <t>% of FW</t>
    <phoneticPr fontId="3" type="noConversion"/>
  </si>
  <si>
    <t>FW COD</t>
    <phoneticPr fontId="3" type="noConversion"/>
  </si>
  <si>
    <t>gCOD/gFW</t>
    <phoneticPr fontId="3" type="noConversion"/>
  </si>
  <si>
    <t>PLA CODth</t>
    <phoneticPr fontId="3" type="noConversion"/>
  </si>
  <si>
    <t>Shred size</t>
    <phoneticPr fontId="3" type="noConversion"/>
  </si>
  <si>
    <t>gCOD/gPLA</t>
    <phoneticPr fontId="3" type="noConversion"/>
  </si>
  <si>
    <t>kg/d</t>
    <phoneticPr fontId="3" type="noConversion"/>
  </si>
  <si>
    <t>FW MC</t>
    <phoneticPr fontId="3" type="noConversion"/>
  </si>
  <si>
    <t>FW TS</t>
    <phoneticPr fontId="3" type="noConversion"/>
  </si>
  <si>
    <t>FW VS</t>
    <phoneticPr fontId="3" type="noConversion"/>
  </si>
  <si>
    <t>% of PLA</t>
    <phoneticPr fontId="3" type="noConversion"/>
  </si>
  <si>
    <t>DW</t>
    <phoneticPr fontId="3" type="noConversion"/>
  </si>
  <si>
    <t>DW added</t>
    <phoneticPr fontId="3" type="noConversion"/>
  </si>
  <si>
    <t>Separation eff.</t>
    <phoneticPr fontId="3" type="noConversion"/>
  </si>
  <si>
    <t>FW cleaning eff.</t>
    <phoneticPr fontId="3" type="noConversion"/>
  </si>
  <si>
    <t>PLA yield</t>
    <phoneticPr fontId="3" type="noConversion"/>
  </si>
  <si>
    <t>DW+Dit</t>
    <phoneticPr fontId="3" type="noConversion"/>
  </si>
  <si>
    <t>W+Dit sol</t>
    <phoneticPr fontId="3" type="noConversion"/>
  </si>
  <si>
    <t xml:space="preserve"> Dit required</t>
    <phoneticPr fontId="3" type="noConversion"/>
  </si>
  <si>
    <t>Sum PLA</t>
    <phoneticPr fontId="3" type="noConversion"/>
  </si>
  <si>
    <t>COD</t>
    <phoneticPr fontId="3" type="noConversion"/>
  </si>
  <si>
    <t>Total volume</t>
    <phoneticPr fontId="3" type="noConversion"/>
  </si>
  <si>
    <t>Sum FW</t>
    <phoneticPr fontId="3" type="noConversion"/>
  </si>
  <si>
    <t>Sum DW</t>
    <phoneticPr fontId="3" type="noConversion"/>
  </si>
  <si>
    <t>kgCOD/d</t>
    <phoneticPr fontId="3" type="noConversion"/>
  </si>
  <si>
    <t>1-3. Washed product</t>
    <phoneticPr fontId="3" type="noConversion"/>
  </si>
  <si>
    <t>PLA,FW MC</t>
    <phoneticPr fontId="3" type="noConversion"/>
  </si>
  <si>
    <t>ton/d</t>
    <phoneticPr fontId="3" type="noConversion"/>
  </si>
  <si>
    <t>tonCOD/d</t>
    <phoneticPr fontId="3" type="noConversion"/>
  </si>
  <si>
    <t>4. AD Process</t>
    <phoneticPr fontId="3" type="noConversion"/>
  </si>
  <si>
    <t>Qin</t>
    <phoneticPr fontId="6" type="noConversion"/>
  </si>
  <si>
    <t xml:space="preserve">HRT </t>
    <phoneticPr fontId="6" type="noConversion"/>
  </si>
  <si>
    <t>d</t>
    <phoneticPr fontId="6" type="noConversion"/>
  </si>
  <si>
    <t>Va</t>
    <phoneticPr fontId="6" type="noConversion"/>
  </si>
  <si>
    <t>D</t>
    <phoneticPr fontId="6" type="noConversion"/>
  </si>
  <si>
    <t>m</t>
    <phoneticPr fontId="6" type="noConversion"/>
  </si>
  <si>
    <t>2:3(H)</t>
  </si>
  <si>
    <t>H</t>
    <phoneticPr fontId="6" type="noConversion"/>
  </si>
  <si>
    <t>m3</t>
    <phoneticPr fontId="6" type="noConversion"/>
  </si>
  <si>
    <t>m2</t>
    <phoneticPr fontId="6" type="noConversion"/>
  </si>
  <si>
    <t>m3</t>
  </si>
  <si>
    <t>Vt real</t>
    <phoneticPr fontId="6" type="noConversion"/>
  </si>
  <si>
    <t xml:space="preserve">   Final</t>
    <phoneticPr fontId="3" type="noConversion"/>
  </si>
  <si>
    <t>4-1 Reactor size</t>
    <phoneticPr fontId="3" type="noConversion"/>
  </si>
  <si>
    <t>4-2-1 Heat lose compensation</t>
    <phoneticPr fontId="3" type="noConversion"/>
  </si>
  <si>
    <t>Treq.</t>
    <phoneticPr fontId="6" type="noConversion"/>
  </si>
  <si>
    <t>Tenv.</t>
    <phoneticPr fontId="6" type="noConversion"/>
  </si>
  <si>
    <t>Heatloss</t>
    <phoneticPr fontId="6" type="noConversion"/>
  </si>
  <si>
    <t>kcal/d</t>
    <phoneticPr fontId="6" type="noConversion"/>
  </si>
  <si>
    <t>4-2-2 Influent temp compensation</t>
    <phoneticPr fontId="3" type="noConversion"/>
  </si>
  <si>
    <t>kcal/ton</t>
    <phoneticPr fontId="6" type="noConversion"/>
  </si>
  <si>
    <t>Kcal/d</t>
    <phoneticPr fontId="6" type="noConversion"/>
  </si>
  <si>
    <t>Heat cap.</t>
    <phoneticPr fontId="6" type="noConversion"/>
  </si>
  <si>
    <t>4-2 Reactor Heat  &amp; energy requirment</t>
    <phoneticPr fontId="3" type="noConversion"/>
  </si>
  <si>
    <t>4-3-3 Mixing energy</t>
    <phoneticPr fontId="3" type="noConversion"/>
  </si>
  <si>
    <t>KW/d</t>
    <phoneticPr fontId="6" type="noConversion"/>
  </si>
  <si>
    <t>0.005~0.003KW/m3</t>
    <phoneticPr fontId="6" type="noConversion"/>
  </si>
  <si>
    <t>Qin Heat up</t>
    <phoneticPr fontId="6" type="noConversion"/>
  </si>
  <si>
    <t>Mixer</t>
    <phoneticPr fontId="6" type="noConversion"/>
  </si>
  <si>
    <t>4-3 AD reactor operation</t>
    <phoneticPr fontId="3" type="noConversion"/>
  </si>
  <si>
    <t>Digestion eff.</t>
    <phoneticPr fontId="3" type="noConversion"/>
  </si>
  <si>
    <t>CH4 %</t>
    <phoneticPr fontId="3" type="noConversion"/>
  </si>
  <si>
    <t>Q CH4</t>
    <phoneticPr fontId="3" type="noConversion"/>
  </si>
  <si>
    <t>Q CO2</t>
    <phoneticPr fontId="3" type="noConversion"/>
  </si>
  <si>
    <t>Th.BG yield</t>
    <phoneticPr fontId="3" type="noConversion"/>
  </si>
  <si>
    <t>m3 CH4/ ton</t>
    <phoneticPr fontId="3" type="noConversion"/>
  </si>
  <si>
    <t>Q (m3)</t>
    <phoneticPr fontId="3" type="noConversion"/>
  </si>
  <si>
    <t>4-4 Biogas dehumid &amp; Dry desulfurization</t>
    <phoneticPr fontId="3" type="noConversion"/>
  </si>
  <si>
    <t>4-4-1 Dehumid</t>
    <phoneticPr fontId="3" type="noConversion"/>
  </si>
  <si>
    <t xml:space="preserve"> * Room temp, Gravel filter is enough for caputure moisture</t>
    <phoneticPr fontId="3" type="noConversion"/>
  </si>
  <si>
    <t xml:space="preserve"> </t>
    <phoneticPr fontId="3" type="noConversion"/>
  </si>
  <si>
    <t>4-4-2 Desulfurization</t>
    <phoneticPr fontId="3" type="noConversion"/>
  </si>
  <si>
    <t xml:space="preserve"> 2) Blower cost</t>
    <phoneticPr fontId="3" type="noConversion"/>
  </si>
  <si>
    <t>m3/hr</t>
    <phoneticPr fontId="6" type="noConversion"/>
  </si>
  <si>
    <t>Biogas</t>
    <phoneticPr fontId="3" type="noConversion"/>
  </si>
  <si>
    <t>m3FeCL/m3B.G</t>
    <phoneticPr fontId="3" type="noConversion"/>
  </si>
  <si>
    <t>ton/m3</t>
    <phoneticPr fontId="3" type="noConversion"/>
  </si>
  <si>
    <t>FeCl density</t>
    <phoneticPr fontId="3" type="noConversion"/>
  </si>
  <si>
    <t>m3</t>
    <phoneticPr fontId="3" type="noConversion"/>
  </si>
  <si>
    <t>per 6 month</t>
    <phoneticPr fontId="3" type="noConversion"/>
  </si>
  <si>
    <t>1) FeCL cost</t>
    <phoneticPr fontId="3" type="noConversion"/>
  </si>
  <si>
    <t xml:space="preserve"> Blower eff.</t>
    <phoneticPr fontId="3" type="noConversion"/>
  </si>
  <si>
    <t>pa</t>
    <phoneticPr fontId="3" type="noConversion"/>
  </si>
  <si>
    <t>kWh</t>
    <phoneticPr fontId="3" type="noConversion"/>
  </si>
  <si>
    <t>kcal/hr</t>
  </si>
  <si>
    <t>4-5 Biogas CHP</t>
    <phoneticPr fontId="3" type="noConversion"/>
  </si>
  <si>
    <t xml:space="preserve"> Energy contain</t>
    <phoneticPr fontId="3" type="noConversion"/>
  </si>
  <si>
    <t xml:space="preserve"> Gas calori</t>
    <phoneticPr fontId="3" type="noConversion"/>
  </si>
  <si>
    <t>kcal/Nm3CH4</t>
    <phoneticPr fontId="3" type="noConversion"/>
  </si>
  <si>
    <t>Kcal/d</t>
    <phoneticPr fontId="3" type="noConversion"/>
  </si>
  <si>
    <t>Electricity</t>
    <phoneticPr fontId="3" type="noConversion"/>
  </si>
  <si>
    <t>Heat recovery</t>
    <phoneticPr fontId="3" type="noConversion"/>
  </si>
  <si>
    <t>Electricity recovery</t>
    <phoneticPr fontId="3" type="noConversion"/>
  </si>
  <si>
    <t>Electriciry eff</t>
    <phoneticPr fontId="3" type="noConversion"/>
  </si>
  <si>
    <t>Heat eff.</t>
    <phoneticPr fontId="3" type="noConversion"/>
  </si>
  <si>
    <t>MJ/d</t>
  </si>
  <si>
    <t>MJ/d</t>
    <phoneticPr fontId="3" type="noConversion"/>
  </si>
  <si>
    <t>Loss</t>
    <phoneticPr fontId="3" type="noConversion"/>
  </si>
  <si>
    <t>4-5-1 Electricity &amp; Heat produced</t>
    <phoneticPr fontId="3" type="noConversion"/>
  </si>
  <si>
    <t>m3/d</t>
    <phoneticPr fontId="3" type="noConversion"/>
  </si>
  <si>
    <t>AD</t>
    <phoneticPr fontId="3" type="noConversion"/>
  </si>
  <si>
    <t>CHP</t>
    <phoneticPr fontId="3" type="noConversion"/>
  </si>
  <si>
    <t>sum</t>
    <phoneticPr fontId="3" type="noConversion"/>
  </si>
  <si>
    <t>kgCO2/m3</t>
    <phoneticPr fontId="3" type="noConversion"/>
  </si>
  <si>
    <t>Ton CO2/d</t>
    <phoneticPr fontId="3" type="noConversion"/>
  </si>
  <si>
    <t>4-5 Sludge treatment after digestion</t>
    <phoneticPr fontId="3" type="noConversion"/>
  </si>
  <si>
    <t>Q B.G.</t>
    <phoneticPr fontId="3" type="noConversion"/>
  </si>
  <si>
    <t>gTS/gFW</t>
    <phoneticPr fontId="3" type="noConversion"/>
  </si>
  <si>
    <t>gVS/gFW</t>
    <phoneticPr fontId="3" type="noConversion"/>
  </si>
  <si>
    <t>ton TS/d</t>
    <phoneticPr fontId="3" type="noConversion"/>
  </si>
  <si>
    <t>ton VS/d</t>
    <phoneticPr fontId="3" type="noConversion"/>
  </si>
  <si>
    <t>Tsin</t>
    <phoneticPr fontId="3" type="noConversion"/>
  </si>
  <si>
    <t>Vsin</t>
    <phoneticPr fontId="3" type="noConversion"/>
  </si>
  <si>
    <t>FS+ Residual VS is Sludge</t>
    <phoneticPr fontId="3" type="noConversion"/>
  </si>
  <si>
    <t>ton Sludge/d</t>
    <phoneticPr fontId="3" type="noConversion"/>
  </si>
  <si>
    <t>Qout</t>
    <phoneticPr fontId="3" type="noConversion"/>
  </si>
  <si>
    <t>Mcslduge</t>
    <phoneticPr fontId="3" type="noConversion"/>
  </si>
  <si>
    <t>Ssin cake</t>
    <phoneticPr fontId="3" type="noConversion"/>
  </si>
  <si>
    <t>Qcake</t>
    <phoneticPr fontId="3" type="noConversion"/>
  </si>
  <si>
    <t>ton sludge/d</t>
    <phoneticPr fontId="3" type="noConversion"/>
  </si>
  <si>
    <t>Qin WWTP</t>
    <phoneticPr fontId="3" type="noConversion"/>
  </si>
  <si>
    <t>4-5-1 Sludge amount calculation</t>
    <phoneticPr fontId="3" type="noConversion"/>
  </si>
  <si>
    <t>4-5-2 Seperated WW amount</t>
    <phoneticPr fontId="3" type="noConversion"/>
  </si>
  <si>
    <t>Water</t>
    <phoneticPr fontId="3" type="noConversion"/>
  </si>
  <si>
    <t>2-1 Dry</t>
    <phoneticPr fontId="3" type="noConversion"/>
  </si>
  <si>
    <t>Target MC</t>
    <phoneticPr fontId="3" type="noConversion"/>
  </si>
  <si>
    <t>Hot air temp</t>
    <phoneticPr fontId="3" type="noConversion"/>
  </si>
  <si>
    <t>Dry eff.</t>
    <phoneticPr fontId="3" type="noConversion"/>
  </si>
  <si>
    <t>CpW</t>
    <phoneticPr fontId="3" type="noConversion"/>
  </si>
  <si>
    <t>Hvap</t>
    <phoneticPr fontId="3" type="noConversion"/>
  </si>
  <si>
    <t>kcal/kgDW/c</t>
  </si>
  <si>
    <t>kcal/c</t>
  </si>
  <si>
    <t>W removed</t>
    <phoneticPr fontId="3" type="noConversion"/>
  </si>
  <si>
    <t>kg/hr</t>
    <phoneticPr fontId="3" type="noConversion"/>
  </si>
  <si>
    <t>Room temp</t>
    <phoneticPr fontId="3" type="noConversion"/>
  </si>
  <si>
    <t>Kcal/hr</t>
    <phoneticPr fontId="3" type="noConversion"/>
  </si>
  <si>
    <t>Blower</t>
    <phoneticPr fontId="3" type="noConversion"/>
  </si>
  <si>
    <t>2-2 Condensor</t>
    <phoneticPr fontId="3" type="noConversion"/>
  </si>
  <si>
    <t>Humid Air</t>
    <phoneticPr fontId="3" type="noConversion"/>
  </si>
  <si>
    <t>Condensed</t>
    <phoneticPr fontId="3" type="noConversion"/>
  </si>
  <si>
    <t>Coolant temp</t>
    <phoneticPr fontId="3" type="noConversion"/>
  </si>
  <si>
    <t>at 75c</t>
    <phoneticPr fontId="3" type="noConversion"/>
  </si>
  <si>
    <t>Cpv</t>
    <phoneticPr fontId="3" type="noConversion"/>
  </si>
  <si>
    <t>Cpliq</t>
    <phoneticPr fontId="3" type="noConversion"/>
  </si>
  <si>
    <t>ignore</t>
    <phoneticPr fontId="3" type="noConversion"/>
  </si>
  <si>
    <t>kcal/kgDW/c</t>
    <phoneticPr fontId="3" type="noConversion"/>
  </si>
  <si>
    <t>Kcal/kg</t>
    <phoneticPr fontId="3" type="noConversion"/>
  </si>
  <si>
    <t>Cooling</t>
    <phoneticPr fontId="3" type="noConversion"/>
  </si>
  <si>
    <t>kgDW/d</t>
    <phoneticPr fontId="3" type="noConversion"/>
  </si>
  <si>
    <t>2-2 Extrution</t>
    <phoneticPr fontId="3" type="noConversion"/>
  </si>
  <si>
    <t>M dot</t>
    <phoneticPr fontId="6" type="noConversion"/>
  </si>
  <si>
    <t>kg/h</t>
    <phoneticPr fontId="6" type="noConversion"/>
  </si>
  <si>
    <t>Temp_amb</t>
    <phoneticPr fontId="6" type="noConversion"/>
  </si>
  <si>
    <t>Tmelting</t>
    <phoneticPr fontId="6" type="noConversion"/>
  </si>
  <si>
    <t>%</t>
    <phoneticPr fontId="6" type="noConversion"/>
  </si>
  <si>
    <t>Cps</t>
    <phoneticPr fontId="6" type="noConversion"/>
  </si>
  <si>
    <t>KJ/kg/c</t>
    <phoneticPr fontId="6" type="noConversion"/>
  </si>
  <si>
    <t>KJ/kg</t>
    <phoneticPr fontId="6" type="noConversion"/>
  </si>
  <si>
    <t>Xc</t>
    <phoneticPr fontId="6" type="noConversion"/>
  </si>
  <si>
    <t>kJ/h</t>
    <phoneticPr fontId="6" type="noConversion"/>
  </si>
  <si>
    <t>Total</t>
    <phoneticPr fontId="6" type="noConversion"/>
  </si>
  <si>
    <t>2-3 Cooling &amp; Pellet making</t>
    <phoneticPr fontId="3" type="noConversion"/>
  </si>
  <si>
    <t xml:space="preserve">Material </t>
    <phoneticPr fontId="3" type="noConversion"/>
  </si>
  <si>
    <t>Qwater</t>
    <phoneticPr fontId="6" type="noConversion"/>
  </si>
  <si>
    <t>Q crystal</t>
    <phoneticPr fontId="6" type="noConversion"/>
  </si>
  <si>
    <t>℃</t>
  </si>
  <si>
    <t>℃</t>
    <phoneticPr fontId="3" type="noConversion"/>
  </si>
  <si>
    <t>Product Yield</t>
    <phoneticPr fontId="3" type="noConversion"/>
  </si>
  <si>
    <t>2-4 Product amount</t>
    <phoneticPr fontId="3" type="noConversion"/>
  </si>
  <si>
    <t>Mass &amp; Energy balance calculation</t>
    <phoneticPr fontId="3" type="noConversion"/>
  </si>
  <si>
    <t>1-2. Washing &amp; dehydration</t>
    <phoneticPr fontId="3" type="noConversion"/>
  </si>
  <si>
    <t>[Pre-treatment process]</t>
    <phoneticPr fontId="3" type="noConversion"/>
  </si>
  <si>
    <t>[Main recycling Process]</t>
    <phoneticPr fontId="3" type="noConversion"/>
  </si>
  <si>
    <t>[Food waste &amp; waste]</t>
    <phoneticPr fontId="3" type="noConversion"/>
  </si>
  <si>
    <t>Cake</t>
    <phoneticPr fontId="3" type="noConversion"/>
  </si>
  <si>
    <t>ton waste PLA/d</t>
    <phoneticPr fontId="3" type="noConversion"/>
  </si>
  <si>
    <t>[AD Process]</t>
    <phoneticPr fontId="3" type="noConversion"/>
  </si>
  <si>
    <t>Mass &amp; Energy summery</t>
    <phoneticPr fontId="3" type="noConversion"/>
  </si>
  <si>
    <t>Yield, efficeincy</t>
    <phoneticPr fontId="3" type="noConversion"/>
  </si>
  <si>
    <t>Total energt req.</t>
    <phoneticPr fontId="3" type="noConversion"/>
  </si>
  <si>
    <t>Heat</t>
    <phoneticPr fontId="3" type="noConversion"/>
  </si>
  <si>
    <t>Cut&amp;operation</t>
    <phoneticPr fontId="6" type="noConversion"/>
  </si>
  <si>
    <t>Heat Loss</t>
    <phoneticPr fontId="3" type="noConversion"/>
  </si>
  <si>
    <t>Mixing</t>
    <phoneticPr fontId="3" type="noConversion"/>
  </si>
  <si>
    <r>
      <rPr>
        <sz val="11"/>
        <color theme="1"/>
        <rFont val="맑은 고딕"/>
        <family val="1"/>
        <charset val="129"/>
      </rPr>
      <t>℃</t>
    </r>
    <phoneticPr fontId="3" type="noConversion"/>
  </si>
  <si>
    <r>
      <t>kcal/kgDW/</t>
    </r>
    <r>
      <rPr>
        <sz val="11"/>
        <color theme="1"/>
        <rFont val="맑은 고딕"/>
        <family val="2"/>
        <charset val="129"/>
      </rPr>
      <t>℃</t>
    </r>
    <phoneticPr fontId="3" type="noConversion"/>
  </si>
  <si>
    <r>
      <t>10%</t>
    </r>
    <r>
      <rPr>
        <sz val="11"/>
        <color theme="1"/>
        <rFont val="맑은 고딕"/>
        <family val="2"/>
        <charset val="129"/>
      </rPr>
      <t>라고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가정</t>
    </r>
    <phoneticPr fontId="3" type="noConversion"/>
  </si>
  <si>
    <r>
      <rPr>
        <sz val="11"/>
        <color theme="1"/>
        <rFont val="돋움"/>
        <family val="2"/>
        <charset val="129"/>
      </rPr>
      <t>반응기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크기</t>
    </r>
    <phoneticPr fontId="6" type="noConversion"/>
  </si>
  <si>
    <t>ΔT</t>
    <phoneticPr fontId="6" type="noConversion"/>
  </si>
  <si>
    <r>
      <t>3</t>
    </r>
    <r>
      <rPr>
        <sz val="11"/>
        <color theme="1"/>
        <rFont val="맑은 고딕"/>
        <family val="2"/>
        <charset val="129"/>
      </rPr>
      <t>파이</t>
    </r>
    <r>
      <rPr>
        <sz val="11"/>
        <color theme="1"/>
        <rFont val="Calibri"/>
        <family val="2"/>
      </rPr>
      <t>x3=2300</t>
    </r>
    <phoneticPr fontId="6" type="noConversion"/>
  </si>
  <si>
    <r>
      <rPr>
        <sz val="11"/>
        <color theme="1"/>
        <rFont val="맑은 고딕"/>
        <family val="2"/>
        <charset val="129"/>
      </rPr>
      <t>부피검산</t>
    </r>
    <phoneticPr fontId="6" type="noConversion"/>
  </si>
  <si>
    <r>
      <rPr>
        <sz val="11"/>
        <color theme="1"/>
        <rFont val="맑은 고딕"/>
        <family val="2"/>
        <charset val="129"/>
      </rPr>
      <t>압력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수두</t>
    </r>
    <phoneticPr fontId="3" type="noConversion"/>
  </si>
  <si>
    <t>Influent Heat</t>
    <phoneticPr fontId="3" type="noConversion"/>
  </si>
  <si>
    <t>Heat Prod.</t>
    <phoneticPr fontId="3" type="noConversion"/>
  </si>
  <si>
    <t>Elect. Prod.</t>
    <phoneticPr fontId="3" type="noConversion"/>
  </si>
  <si>
    <t>Fecl required</t>
    <phoneticPr fontId="3" type="noConversion"/>
  </si>
  <si>
    <t>Ladnfill</t>
    <phoneticPr fontId="3" type="noConversion"/>
  </si>
  <si>
    <t>Sludge</t>
    <phoneticPr fontId="3" type="noConversion"/>
  </si>
  <si>
    <t>Conversion factor</t>
    <phoneticPr fontId="3" type="noConversion"/>
  </si>
  <si>
    <t>WWTP</t>
    <phoneticPr fontId="3" type="noConversion"/>
  </si>
  <si>
    <t>m3 CO₂-eq/m³</t>
    <phoneticPr fontId="3" type="noConversion"/>
  </si>
  <si>
    <t>Total CO2</t>
    <phoneticPr fontId="3" type="noConversion"/>
  </si>
  <si>
    <t>Except AD</t>
    <phoneticPr fontId="3" type="noConversion"/>
  </si>
  <si>
    <t>ton CO2/d</t>
    <phoneticPr fontId="3" type="noConversion"/>
  </si>
  <si>
    <t>Mass &amp; Energy &amp; Cost summery</t>
    <phoneticPr fontId="3" type="noConversion"/>
  </si>
  <si>
    <t>Unit</t>
    <phoneticPr fontId="3" type="noConversion"/>
  </si>
  <si>
    <t>Energy</t>
    <phoneticPr fontId="3" type="noConversion"/>
  </si>
  <si>
    <t>Chemical</t>
    <phoneticPr fontId="3" type="noConversion"/>
  </si>
  <si>
    <t>Detergent</t>
    <phoneticPr fontId="3" type="noConversion"/>
  </si>
  <si>
    <t>kg</t>
    <phoneticPr fontId="3" type="noConversion"/>
  </si>
  <si>
    <t>FeCl</t>
    <phoneticPr fontId="3" type="noConversion"/>
  </si>
  <si>
    <t>Waste</t>
    <phoneticPr fontId="3" type="noConversion"/>
  </si>
  <si>
    <t>PLA loss</t>
    <phoneticPr fontId="3" type="noConversion"/>
  </si>
  <si>
    <t>Dehyd. Sludge</t>
    <phoneticPr fontId="3" type="noConversion"/>
  </si>
  <si>
    <t>WW</t>
    <phoneticPr fontId="3" type="noConversion"/>
  </si>
  <si>
    <t>Product</t>
    <phoneticPr fontId="3" type="noConversion"/>
  </si>
  <si>
    <t>rPLA</t>
    <phoneticPr fontId="3" type="noConversion"/>
  </si>
  <si>
    <t>Pre-treatment</t>
    <phoneticPr fontId="3" type="noConversion"/>
  </si>
  <si>
    <t>Main recycle</t>
    <phoneticPr fontId="3" type="noConversion"/>
  </si>
  <si>
    <t>AD operation</t>
    <phoneticPr fontId="3" type="noConversion"/>
  </si>
  <si>
    <t>Sum</t>
    <phoneticPr fontId="3" type="noConversion"/>
  </si>
  <si>
    <t>Extrusion</t>
    <phoneticPr fontId="3" type="noConversion"/>
  </si>
  <si>
    <t>Qin heat</t>
    <phoneticPr fontId="3" type="noConversion"/>
  </si>
  <si>
    <t>Heat loss</t>
    <phoneticPr fontId="3" type="noConversion"/>
  </si>
  <si>
    <t>Desulf</t>
    <phoneticPr fontId="3" type="noConversion"/>
  </si>
  <si>
    <t>Separation</t>
    <phoneticPr fontId="3" type="noConversion"/>
  </si>
  <si>
    <t>Washing</t>
    <phoneticPr fontId="3" type="noConversion"/>
  </si>
  <si>
    <t>Unit price</t>
    <phoneticPr fontId="3" type="noConversion"/>
  </si>
  <si>
    <t>Cost evaluation</t>
    <phoneticPr fontId="3" type="noConversion"/>
  </si>
  <si>
    <t>원/m3</t>
  </si>
  <si>
    <t>원/kg</t>
  </si>
  <si>
    <t>원/톤</t>
  </si>
  <si>
    <t>USD/KWH</t>
    <phoneticPr fontId="3" type="noConversion"/>
  </si>
  <si>
    <t>USD/m3</t>
    <phoneticPr fontId="3" type="noConversion"/>
  </si>
  <si>
    <t>USD/kg</t>
    <phoneticPr fontId="3" type="noConversion"/>
  </si>
  <si>
    <t>USD/ton</t>
    <phoneticPr fontId="3" type="noConversion"/>
  </si>
  <si>
    <t>Dehydration</t>
    <phoneticPr fontId="3" type="noConversion"/>
  </si>
  <si>
    <t>gDW/m3B.G</t>
    <phoneticPr fontId="3" type="noConversion"/>
  </si>
  <si>
    <t>Raw grade PLA</t>
    <phoneticPr fontId="3" type="noConversion"/>
  </si>
  <si>
    <t>USD/톤</t>
    <phoneticPr fontId="3" type="noConversion"/>
  </si>
  <si>
    <t>USD/d</t>
    <phoneticPr fontId="3" type="noConversion"/>
  </si>
  <si>
    <t>M3/d</t>
    <phoneticPr fontId="3" type="noConversion"/>
  </si>
  <si>
    <t>Ton/d</t>
    <phoneticPr fontId="3" type="noConversion"/>
  </si>
  <si>
    <t>Dehumid</t>
    <phoneticPr fontId="3" type="noConversion"/>
  </si>
  <si>
    <t>Drying</t>
    <phoneticPr fontId="3" type="noConversion"/>
  </si>
  <si>
    <t>2-3 Alcoholysis</t>
    <phoneticPr fontId="3" type="noConversion"/>
  </si>
  <si>
    <t>2-4 Distilation</t>
    <phoneticPr fontId="3" type="noConversion"/>
  </si>
  <si>
    <t>g/cm3 at 15c</t>
    <phoneticPr fontId="3" type="noConversion"/>
  </si>
  <si>
    <t>EtOH</t>
    <phoneticPr fontId="3" type="noConversion"/>
  </si>
  <si>
    <t>2-3-1. Alcoholysis condition</t>
    <phoneticPr fontId="3" type="noConversion"/>
  </si>
  <si>
    <t xml:space="preserve">Ref: </t>
    <phoneticPr fontId="3" type="noConversion"/>
  </si>
  <si>
    <t>Lactic Acid: EtOH: Mg(Oet)2 = 1/2/0.01</t>
    <phoneticPr fontId="3" type="noConversion"/>
  </si>
  <si>
    <t>Reactor volume: 5L, 1.5Kg of PLA</t>
    <phoneticPr fontId="3" type="noConversion"/>
  </si>
  <si>
    <t xml:space="preserve">Temp: </t>
  </si>
  <si>
    <t xml:space="preserve">Temp: </t>
    <phoneticPr fontId="3" type="noConversion"/>
  </si>
  <si>
    <t>Reaction duration</t>
  </si>
  <si>
    <t>Reaction duration</t>
    <phoneticPr fontId="3" type="noConversion"/>
  </si>
  <si>
    <t>hr</t>
  </si>
  <si>
    <t>hr</t>
    <phoneticPr fontId="3" type="noConversion"/>
  </si>
  <si>
    <t>L/kgPLA</t>
    <phoneticPr fontId="3" type="noConversion"/>
  </si>
  <si>
    <t>Yield</t>
    <phoneticPr fontId="3" type="noConversion"/>
  </si>
  <si>
    <t>2-3-3. Heat requirment</t>
    <phoneticPr fontId="3" type="noConversion"/>
  </si>
  <si>
    <t>g/mol</t>
    <phoneticPr fontId="3" type="noConversion"/>
  </si>
  <si>
    <t>ETOH</t>
    <phoneticPr fontId="3" type="noConversion"/>
  </si>
  <si>
    <t>L EtOH/hr</t>
    <phoneticPr fontId="3" type="noConversion"/>
  </si>
  <si>
    <t>EtOH Density</t>
    <phoneticPr fontId="3" type="noConversion"/>
  </si>
  <si>
    <t>MgO</t>
    <phoneticPr fontId="3" type="noConversion"/>
  </si>
  <si>
    <t>Mg</t>
    <phoneticPr fontId="3" type="noConversion"/>
  </si>
  <si>
    <t>kg/hr 96%</t>
    <phoneticPr fontId="3" type="noConversion"/>
  </si>
  <si>
    <t>N2 (purging)</t>
    <phoneticPr fontId="3" type="noConversion"/>
  </si>
  <si>
    <t>Reactor volume</t>
    <phoneticPr fontId="3" type="noConversion"/>
  </si>
  <si>
    <t>L</t>
    <phoneticPr fontId="3" type="noConversion"/>
  </si>
  <si>
    <t>Molecular weith table</t>
    <phoneticPr fontId="3" type="noConversion"/>
  </si>
  <si>
    <t>L N2 gas/hr (reaction)</t>
    <phoneticPr fontId="3" type="noConversion"/>
  </si>
  <si>
    <t>2-3-2. Chemical requirment (per reaction, 1hr)</t>
    <phoneticPr fontId="3" type="noConversion"/>
  </si>
  <si>
    <t>Pmax</t>
    <phoneticPr fontId="3" type="noConversion"/>
  </si>
  <si>
    <t>bar</t>
    <phoneticPr fontId="3" type="noConversion"/>
  </si>
  <si>
    <t>T0</t>
    <phoneticPr fontId="6" type="noConversion"/>
  </si>
  <si>
    <t>Tf</t>
    <phoneticPr fontId="6" type="noConversion"/>
  </si>
  <si>
    <t xml:space="preserve">Xc </t>
    <phoneticPr fontId="6" type="noConversion"/>
  </si>
  <si>
    <t>PLA Cp</t>
    <phoneticPr fontId="6" type="noConversion"/>
  </si>
  <si>
    <t>kj/kg/c</t>
    <phoneticPr fontId="6" type="noConversion"/>
  </si>
  <si>
    <t>EtOH Cp</t>
    <phoneticPr fontId="6" type="noConversion"/>
  </si>
  <si>
    <t>PLA Hfus</t>
    <phoneticPr fontId="6" type="noConversion"/>
  </si>
  <si>
    <t>PLA</t>
    <phoneticPr fontId="6" type="noConversion"/>
  </si>
  <si>
    <t>Kj</t>
    <phoneticPr fontId="6" type="noConversion"/>
  </si>
  <si>
    <t>EtoH</t>
    <phoneticPr fontId="6" type="noConversion"/>
  </si>
  <si>
    <r>
      <rPr>
        <sz val="11"/>
        <color theme="1"/>
        <rFont val="맑은 고딕"/>
        <family val="2"/>
        <charset val="129"/>
      </rPr>
      <t>가열량</t>
    </r>
    <phoneticPr fontId="6" type="noConversion"/>
  </si>
  <si>
    <r>
      <t>Kj/hr (1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반응당</t>
    </r>
    <r>
      <rPr>
        <sz val="11"/>
        <color theme="1"/>
        <rFont val="Calibri"/>
        <family val="2"/>
      </rPr>
      <t>)</t>
    </r>
    <phoneticPr fontId="6" type="noConversion"/>
  </si>
  <si>
    <t>EtOH</t>
    <phoneticPr fontId="6" type="noConversion"/>
  </si>
  <si>
    <t>Heat</t>
    <phoneticPr fontId="6" type="noConversion"/>
  </si>
  <si>
    <t>ETOH</t>
    <phoneticPr fontId="6" type="noConversion"/>
  </si>
  <si>
    <t>T0</t>
  </si>
  <si>
    <t>T0</t>
    <phoneticPr fontId="3" type="noConversion"/>
  </si>
  <si>
    <t>Tf</t>
  </si>
  <si>
    <t>Tf</t>
    <phoneticPr fontId="3" type="noConversion"/>
  </si>
  <si>
    <t>SUM</t>
    <phoneticPr fontId="3" type="noConversion"/>
  </si>
  <si>
    <t>2-3-4. Cooling (Batch reactor open)</t>
    <phoneticPr fontId="3" type="noConversion"/>
  </si>
  <si>
    <t>atm</t>
    <phoneticPr fontId="6" type="noConversion"/>
  </si>
  <si>
    <t>CpEL</t>
    <phoneticPr fontId="6" type="noConversion"/>
  </si>
  <si>
    <t>EL</t>
    <phoneticPr fontId="6" type="noConversion"/>
  </si>
  <si>
    <t>kg</t>
    <phoneticPr fontId="6" type="noConversion"/>
  </si>
  <si>
    <t>CpEtOH</t>
    <phoneticPr fontId="6" type="noConversion"/>
  </si>
  <si>
    <t>CpH2O</t>
    <phoneticPr fontId="6" type="noConversion"/>
  </si>
  <si>
    <t>H2O</t>
    <phoneticPr fontId="6" type="noConversion"/>
  </si>
  <si>
    <t>C3H4O2</t>
    <phoneticPr fontId="3" type="noConversion"/>
  </si>
  <si>
    <t>EL</t>
    <phoneticPr fontId="3" type="noConversion"/>
  </si>
  <si>
    <t xml:space="preserve"> 1mol C3H4O2 can produce 1mol EL</t>
    <phoneticPr fontId="3" type="noConversion"/>
  </si>
  <si>
    <t>Kg EL/hr</t>
    <phoneticPr fontId="3" type="noConversion"/>
  </si>
  <si>
    <t>EL prod.</t>
    <phoneticPr fontId="3" type="noConversion"/>
  </si>
  <si>
    <t xml:space="preserve"> 1mol EtOH react with 1mol C3HO2</t>
    <phoneticPr fontId="3" type="noConversion"/>
  </si>
  <si>
    <t>EtOH residual</t>
    <phoneticPr fontId="3" type="noConversion"/>
  </si>
  <si>
    <t>kg EtOH/hr</t>
    <phoneticPr fontId="3" type="noConversion"/>
  </si>
  <si>
    <t>Kg PLA/hr</t>
    <phoneticPr fontId="3" type="noConversion"/>
  </si>
  <si>
    <t>H2O</t>
    <phoneticPr fontId="3" type="noConversion"/>
  </si>
  <si>
    <t>kj</t>
    <phoneticPr fontId="6" type="noConversion"/>
  </si>
  <si>
    <t>kj/hr</t>
    <phoneticPr fontId="6" type="noConversion"/>
  </si>
  <si>
    <t>Mj/kg</t>
    <phoneticPr fontId="6" type="noConversion"/>
  </si>
  <si>
    <t>Cpw</t>
    <phoneticPr fontId="6" type="noConversion"/>
  </si>
  <si>
    <t>Kj/kg/c</t>
    <phoneticPr fontId="6" type="noConversion"/>
  </si>
  <si>
    <t>Kwh/Kwh</t>
    <phoneticPr fontId="6" type="noConversion"/>
  </si>
  <si>
    <t>KWH</t>
    <phoneticPr fontId="6" type="noConversion"/>
  </si>
  <si>
    <t>2-1 Hydrolysis condition</t>
    <phoneticPr fontId="3" type="noConversion"/>
  </si>
  <si>
    <r>
      <t>m3 CO</t>
    </r>
    <r>
      <rPr>
        <sz val="11"/>
        <color theme="1"/>
        <rFont val="맑은 고딕"/>
        <family val="2"/>
        <charset val="129"/>
      </rPr>
      <t>₂</t>
    </r>
    <r>
      <rPr>
        <sz val="11"/>
        <color theme="1"/>
        <rFont val="Calibri"/>
        <family val="2"/>
      </rPr>
      <t>-eq/</t>
    </r>
    <r>
      <rPr>
        <sz val="11"/>
        <color theme="1"/>
        <rFont val="맑은 고딕"/>
        <family val="2"/>
        <charset val="129"/>
      </rPr>
      <t>톤</t>
    </r>
    <phoneticPr fontId="3" type="noConversion"/>
  </si>
  <si>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Calibri"/>
        <family val="2"/>
      </rPr>
      <t>/KWh (selling)</t>
    </r>
    <phoneticPr fontId="3" type="noConversion"/>
  </si>
  <si>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2"/>
        <charset val="129"/>
      </rPr>
      <t>톤</t>
    </r>
    <phoneticPr fontId="3" type="noConversion"/>
  </si>
  <si>
    <r>
      <rPr>
        <sz val="11"/>
        <color theme="1"/>
        <rFont val="Segoe UI Symbol"/>
        <family val="1"/>
      </rPr>
      <t>℃</t>
    </r>
    <phoneticPr fontId="3" type="noConversion"/>
  </si>
  <si>
    <r>
      <t>Δ</t>
    </r>
    <r>
      <rPr>
        <sz val="7.7"/>
        <color theme="1"/>
        <rFont val="Calibri"/>
        <family val="2"/>
      </rPr>
      <t>T</t>
    </r>
    <phoneticPr fontId="6" type="noConversion"/>
  </si>
  <si>
    <r>
      <t>EL = 1,208.47 kg, EtOH = 437.84 kg, H</t>
    </r>
    <r>
      <rPr>
        <sz val="11"/>
        <color theme="1"/>
        <rFont val="맑은 고딕"/>
        <family val="2"/>
        <charset val="129"/>
      </rPr>
      <t>₂</t>
    </r>
    <r>
      <rPr>
        <sz val="11"/>
        <color theme="1"/>
        <rFont val="Calibri"/>
        <family val="2"/>
      </rPr>
      <t>O =ignore</t>
    </r>
    <phoneticPr fontId="6" type="noConversion"/>
  </si>
  <si>
    <r>
      <rPr>
        <sz val="11"/>
        <color theme="1"/>
        <rFont val="맑은 고딕"/>
        <family val="2"/>
        <charset val="129"/>
      </rPr>
      <t>총질량</t>
    </r>
    <r>
      <rPr>
        <sz val="11"/>
        <color theme="1"/>
        <rFont val="Calibri"/>
        <family val="2"/>
      </rPr>
      <t xml:space="preserve">(EL+EtOH) = 1,646.31 kg </t>
    </r>
    <r>
      <rPr>
        <sz val="11"/>
        <color theme="1"/>
        <rFont val="맑은 고딕"/>
        <family val="2"/>
        <charset val="129"/>
      </rPr>
      <t>→</t>
    </r>
    <r>
      <rPr>
        <sz val="11"/>
        <color theme="1"/>
        <rFont val="Calibri"/>
        <family val="2"/>
      </rPr>
      <t xml:space="preserve"> H</t>
    </r>
    <r>
      <rPr>
        <sz val="11"/>
        <color theme="1"/>
        <rFont val="맑은 고딕"/>
        <family val="2"/>
        <charset val="129"/>
      </rPr>
      <t>₂</t>
    </r>
    <r>
      <rPr>
        <sz val="11"/>
        <color theme="1"/>
        <rFont val="Calibri"/>
        <family val="2"/>
      </rPr>
      <t>O apprx. 8.23 kg</t>
    </r>
    <phoneticPr fontId="6" type="noConversion"/>
  </si>
  <si>
    <t>Reactor volume: 7.7Cm3 (mL)</t>
    <phoneticPr fontId="3" type="noConversion"/>
  </si>
  <si>
    <t>PLA: 3.08g of PLA, 40% Wwater/WPLA</t>
    <phoneticPr fontId="3" type="noConversion"/>
  </si>
  <si>
    <t>2-2 Hydrolysis</t>
    <phoneticPr fontId="3" type="noConversion"/>
  </si>
  <si>
    <t>2-4 pH adjusting &amp; Nutrient compensate</t>
    <phoneticPr fontId="3" type="noConversion"/>
  </si>
  <si>
    <t>* one time batch (2hr bases)</t>
    <phoneticPr fontId="3" type="noConversion"/>
  </si>
  <si>
    <t>kg/batch</t>
    <phoneticPr fontId="3" type="noConversion"/>
  </si>
  <si>
    <t>kg/L</t>
    <phoneticPr fontId="3" type="noConversion"/>
  </si>
  <si>
    <t>PLA/Va</t>
    <phoneticPr fontId="3" type="noConversion"/>
  </si>
  <si>
    <t>PLAin</t>
    <phoneticPr fontId="3" type="noConversion"/>
  </si>
  <si>
    <t>Waterin</t>
    <phoneticPr fontId="3" type="noConversion"/>
  </si>
  <si>
    <t>Total water needed</t>
    <phoneticPr fontId="3" type="noConversion"/>
  </si>
  <si>
    <t>Additional water</t>
    <phoneticPr fontId="3" type="noConversion"/>
  </si>
  <si>
    <t>DW</t>
    <phoneticPr fontId="6" type="noConversion"/>
  </si>
  <si>
    <t>Heat PLA</t>
    <phoneticPr fontId="6" type="noConversion"/>
  </si>
  <si>
    <t>FWin</t>
    <phoneticPr fontId="3" type="noConversion"/>
  </si>
  <si>
    <t>2-2-1 Batch operation condition</t>
    <phoneticPr fontId="3" type="noConversion"/>
  </si>
  <si>
    <t>Heat DW&amp;FW</t>
    <phoneticPr fontId="6" type="noConversion"/>
  </si>
  <si>
    <t>DW &amp; FW Cp</t>
    <phoneticPr fontId="6" type="noConversion"/>
  </si>
  <si>
    <t>ΔT</t>
  </si>
  <si>
    <r>
      <t>KJ/Kg/</t>
    </r>
    <r>
      <rPr>
        <sz val="11"/>
        <color theme="1"/>
        <rFont val="Segoe UI Symbol"/>
        <family val="2"/>
      </rPr>
      <t>℃</t>
    </r>
    <phoneticPr fontId="6" type="noConversion"/>
  </si>
  <si>
    <t>2-2-3 Cooling</t>
    <phoneticPr fontId="3" type="noConversion"/>
  </si>
  <si>
    <t>2-2-2 Heating</t>
    <phoneticPr fontId="3" type="noConversion"/>
  </si>
  <si>
    <t>1) Reactor in</t>
    <phoneticPr fontId="3" type="noConversion"/>
  </si>
  <si>
    <t>L/batch</t>
    <phoneticPr fontId="3" type="noConversion"/>
  </si>
  <si>
    <t>3. AD Process</t>
    <phoneticPr fontId="3" type="noConversion"/>
  </si>
  <si>
    <t>3-1 Reactor size</t>
    <phoneticPr fontId="3" type="noConversion"/>
  </si>
  <si>
    <t>3-2 Reactor Heat  &amp; energy requirment</t>
    <phoneticPr fontId="3" type="noConversion"/>
  </si>
  <si>
    <t>3-2-1 Heat lose compensation</t>
    <phoneticPr fontId="3" type="noConversion"/>
  </si>
  <si>
    <t>3-2-2 Influent temp compensation</t>
    <phoneticPr fontId="3" type="noConversion"/>
  </si>
  <si>
    <t>3-3-3 Mixing energy</t>
    <phoneticPr fontId="3" type="noConversion"/>
  </si>
  <si>
    <t>3-4 Biogas dehumid &amp; Dry desulfurization</t>
    <phoneticPr fontId="3" type="noConversion"/>
  </si>
  <si>
    <t>3-4-1 Dehumid</t>
    <phoneticPr fontId="3" type="noConversion"/>
  </si>
  <si>
    <t>3-4-2 Desulfurization</t>
    <phoneticPr fontId="3" type="noConversion"/>
  </si>
  <si>
    <t>3-5 Biogas CHP</t>
    <phoneticPr fontId="3" type="noConversion"/>
  </si>
  <si>
    <t>3-5-1 Electricity &amp; Heat produced</t>
    <phoneticPr fontId="3" type="noConversion"/>
  </si>
  <si>
    <t>3-5 Sludge treatment after digestion</t>
    <phoneticPr fontId="3" type="noConversion"/>
  </si>
  <si>
    <t>3-5-1 Sludge amount calculation</t>
    <phoneticPr fontId="3" type="noConversion"/>
  </si>
  <si>
    <t>3-5-2 Seperated WW amount</t>
    <phoneticPr fontId="3" type="noConversion"/>
  </si>
  <si>
    <t>KJ/Batch</t>
    <phoneticPr fontId="6" type="noConversion"/>
  </si>
  <si>
    <t>Cooling E</t>
    <phoneticPr fontId="6" type="noConversion"/>
  </si>
  <si>
    <t>batch/day</t>
    <phoneticPr fontId="3" type="noConversion"/>
  </si>
  <si>
    <t>Expected PH</t>
    <phoneticPr fontId="3" type="noConversion"/>
  </si>
  <si>
    <t>Kg (L)/batch</t>
    <phoneticPr fontId="3" type="noConversion"/>
  </si>
  <si>
    <t>Kg/Batch</t>
    <phoneticPr fontId="3" type="noConversion"/>
  </si>
  <si>
    <t>[COD]</t>
    <phoneticPr fontId="3" type="noConversion"/>
  </si>
  <si>
    <t>Kg COD/batch</t>
    <phoneticPr fontId="3" type="noConversion"/>
  </si>
  <si>
    <t>gCOD/L</t>
    <phoneticPr fontId="3" type="noConversion"/>
  </si>
  <si>
    <t>[C]</t>
    <phoneticPr fontId="3" type="noConversion"/>
  </si>
  <si>
    <r>
      <t>at 25</t>
    </r>
    <r>
      <rPr>
        <sz val="11"/>
        <color theme="1"/>
        <rFont val="Segoe UI Symbol"/>
        <family val="1"/>
      </rPr>
      <t>℃</t>
    </r>
    <phoneticPr fontId="3" type="noConversion"/>
  </si>
  <si>
    <t>[N]</t>
    <phoneticPr fontId="3" type="noConversion"/>
  </si>
  <si>
    <t>N g/mol</t>
    <phoneticPr fontId="3" type="noConversion"/>
  </si>
  <si>
    <t>LA g/mol</t>
    <phoneticPr fontId="3" type="noConversion"/>
  </si>
  <si>
    <t>C g/mol</t>
    <phoneticPr fontId="3" type="noConversion"/>
  </si>
  <si>
    <t>P g/mol</t>
    <phoneticPr fontId="3" type="noConversion"/>
  </si>
  <si>
    <t>[P]</t>
    <phoneticPr fontId="3" type="noConversion"/>
  </si>
  <si>
    <t>Kmol/batch</t>
    <phoneticPr fontId="3" type="noConversion"/>
  </si>
  <si>
    <t>kmol C/batch</t>
    <phoneticPr fontId="3" type="noConversion"/>
  </si>
  <si>
    <t>kmol/batch</t>
    <phoneticPr fontId="3" type="noConversion"/>
  </si>
  <si>
    <t xml:space="preserve"> NH3</t>
    <phoneticPr fontId="3" type="noConversion"/>
  </si>
  <si>
    <t xml:space="preserve"> CaO</t>
    <phoneticPr fontId="3" type="noConversion"/>
  </si>
  <si>
    <t>H3PO4</t>
  </si>
  <si>
    <t>H3PO4</t>
    <phoneticPr fontId="3" type="noConversion"/>
  </si>
  <si>
    <t>g/Cm3</t>
    <phoneticPr fontId="3" type="noConversion"/>
  </si>
  <si>
    <t>L 25% NH3 solution/batch</t>
    <phoneticPr fontId="3" type="noConversion"/>
  </si>
  <si>
    <t>PLAg/mol</t>
    <phoneticPr fontId="3" type="noConversion"/>
  </si>
  <si>
    <t>[HA]</t>
    <phoneticPr fontId="3" type="noConversion"/>
  </si>
  <si>
    <t>Kmol</t>
    <phoneticPr fontId="3" type="noConversion"/>
  </si>
  <si>
    <t>[OH]</t>
    <phoneticPr fontId="3" type="noConversion"/>
  </si>
  <si>
    <t>kmol</t>
    <phoneticPr fontId="3" type="noConversion"/>
  </si>
  <si>
    <t>95% CaO kg/batch</t>
    <phoneticPr fontId="3" type="noConversion"/>
  </si>
  <si>
    <t>g/cm3</t>
    <phoneticPr fontId="3" type="noConversion"/>
  </si>
  <si>
    <t>L 85% H3PO4 Solution/Batch</t>
    <phoneticPr fontId="3" type="noConversion"/>
  </si>
  <si>
    <t>CaO</t>
  </si>
  <si>
    <t>CaO</t>
    <phoneticPr fontId="3" type="noConversion"/>
  </si>
  <si>
    <t>NH3</t>
    <phoneticPr fontId="3" type="noConversion"/>
  </si>
  <si>
    <t xml:space="preserve"> g/mol</t>
    <phoneticPr fontId="3" type="noConversion"/>
  </si>
  <si>
    <t>C</t>
  </si>
  <si>
    <t>N</t>
  </si>
  <si>
    <t>LA</t>
    <phoneticPr fontId="3" type="noConversion"/>
  </si>
  <si>
    <t>N</t>
    <phoneticPr fontId="3" type="noConversion"/>
  </si>
  <si>
    <t>C</t>
    <phoneticPr fontId="3" type="noConversion"/>
  </si>
  <si>
    <t>P</t>
    <phoneticPr fontId="3" type="noConversion"/>
  </si>
  <si>
    <t xml:space="preserve">% </t>
    <phoneticPr fontId="3" type="noConversion"/>
  </si>
  <si>
    <t>C/TS of FW</t>
    <phoneticPr fontId="3" type="noConversion"/>
  </si>
  <si>
    <t>2-4-1 Nutrient requirment</t>
    <phoneticPr fontId="3" type="noConversion"/>
  </si>
  <si>
    <t>2-4-2 pH adjusting calculation</t>
    <phoneticPr fontId="3" type="noConversion"/>
  </si>
  <si>
    <t xml:space="preserve"> * NH3 can provide N and [OH]</t>
    <phoneticPr fontId="3" type="noConversion"/>
  </si>
  <si>
    <t xml:space="preserve"> * Not enough base is provided</t>
    <phoneticPr fontId="3" type="noConversion"/>
  </si>
  <si>
    <t xml:space="preserve">     by CaO</t>
    <phoneticPr fontId="3" type="noConversion"/>
  </si>
  <si>
    <t xml:space="preserve"> * C:N ratio: 30:1, C:P ratio: 100:1</t>
    <phoneticPr fontId="3" type="noConversion"/>
  </si>
  <si>
    <t>[Data sheet]</t>
    <phoneticPr fontId="3" type="noConversion"/>
  </si>
  <si>
    <t>No needed</t>
    <phoneticPr fontId="3" type="noConversion"/>
  </si>
  <si>
    <t xml:space="preserve">1-1. Shreading </t>
    <phoneticPr fontId="3" type="noConversion"/>
  </si>
  <si>
    <t>2. Dry process</t>
    <phoneticPr fontId="3" type="noConversion"/>
  </si>
  <si>
    <t>at 90c</t>
    <phoneticPr fontId="3" type="noConversion"/>
  </si>
  <si>
    <t>H</t>
  </si>
  <si>
    <t>O</t>
  </si>
  <si>
    <t>S</t>
  </si>
  <si>
    <t>Cl</t>
  </si>
  <si>
    <t>kcal/hr</t>
    <phoneticPr fontId="6" type="noConversion"/>
  </si>
  <si>
    <t>kg/hr</t>
    <phoneticPr fontId="6" type="noConversion"/>
  </si>
  <si>
    <t>C</t>
    <phoneticPr fontId="6" type="noConversion"/>
  </si>
  <si>
    <t xml:space="preserve">       Cpr = (W*Cpw)+(Ca*Cpa)+(Ab*Cpb)</t>
    <phoneticPr fontId="6" type="noConversion"/>
  </si>
  <si>
    <t>W 수분함량</t>
    <phoneticPr fontId="6" type="noConversion"/>
  </si>
  <si>
    <t>Ca: 가연분 함량</t>
    <phoneticPr fontId="6" type="noConversion"/>
  </si>
  <si>
    <t>Ab: 회분함량</t>
    <phoneticPr fontId="6" type="noConversion"/>
  </si>
  <si>
    <t>kcal/kg*C</t>
    <phoneticPr fontId="6" type="noConversion"/>
  </si>
  <si>
    <t>kcal/m3*c</t>
    <phoneticPr fontId="6" type="noConversion"/>
  </si>
  <si>
    <t>Q1 (쓰레기 연소가스 반출열량)</t>
    <phoneticPr fontId="6" type="noConversion"/>
  </si>
  <si>
    <t>Q2 (미연소 폐기물 열량)</t>
    <phoneticPr fontId="6" type="noConversion"/>
  </si>
  <si>
    <t>kcal/hr, 효율 95% 가정</t>
    <phoneticPr fontId="6" type="noConversion"/>
  </si>
  <si>
    <t>Q3 (점화온도까지 승온열량)</t>
    <phoneticPr fontId="6" type="noConversion"/>
  </si>
  <si>
    <t>착화온도</t>
    <phoneticPr fontId="6" type="noConversion"/>
  </si>
  <si>
    <t>Q4-1 Loos (방사열량)</t>
    <phoneticPr fontId="6" type="noConversion"/>
  </si>
  <si>
    <t>loss 5% 추정</t>
    <phoneticPr fontId="6" type="noConversion"/>
  </si>
  <si>
    <t>Q4-2 Loss (회분 열량 손실)</t>
    <phoneticPr fontId="6" type="noConversion"/>
  </si>
  <si>
    <t>저위발열량 2% 손실 추정</t>
    <phoneticPr fontId="6" type="noConversion"/>
  </si>
  <si>
    <t>2-3 Dry Product</t>
    <phoneticPr fontId="3" type="noConversion"/>
  </si>
  <si>
    <t>3. Incineration</t>
    <phoneticPr fontId="3" type="noConversion"/>
  </si>
  <si>
    <t>3-1 Incinerator heat balance</t>
    <phoneticPr fontId="3" type="noConversion"/>
  </si>
  <si>
    <t>3-2 Utilizable Heat energy</t>
    <phoneticPr fontId="3" type="noConversion"/>
  </si>
  <si>
    <t>3-3 Temperature evaluation (additional fuel requirment)</t>
    <phoneticPr fontId="3" type="noConversion"/>
  </si>
  <si>
    <t>3-5 Steam generation</t>
    <phoneticPr fontId="3" type="noConversion"/>
  </si>
  <si>
    <t>3-6 Turbine operation</t>
    <phoneticPr fontId="3" type="noConversion"/>
  </si>
  <si>
    <t>Nm3/kg</t>
    <phoneticPr fontId="6" type="noConversion"/>
  </si>
  <si>
    <t>HCL</t>
    <phoneticPr fontId="6" type="noConversion"/>
  </si>
  <si>
    <t>FW (as TS)</t>
    <phoneticPr fontId="3" type="noConversion"/>
  </si>
  <si>
    <t>Water (from FW)</t>
    <phoneticPr fontId="3" type="noConversion"/>
  </si>
  <si>
    <t>FW (before dry)</t>
    <phoneticPr fontId="3" type="noConversion"/>
  </si>
  <si>
    <t>FW (after dry)</t>
    <phoneticPr fontId="3" type="noConversion"/>
  </si>
  <si>
    <t>MC</t>
    <phoneticPr fontId="3" type="noConversion"/>
  </si>
  <si>
    <t>ASH</t>
    <phoneticPr fontId="3" type="noConversion"/>
  </si>
  <si>
    <t>Ao</t>
    <phoneticPr fontId="3" type="noConversion"/>
  </si>
  <si>
    <t>M</t>
    <phoneticPr fontId="3" type="noConversion"/>
  </si>
  <si>
    <t xml:space="preserve"> 8.89(C)+26.7(H)-3.33(O)+3.33(S)</t>
    <phoneticPr fontId="3" type="noConversion"/>
  </si>
  <si>
    <t>A</t>
    <phoneticPr fontId="3" type="noConversion"/>
  </si>
  <si>
    <t>A0*M</t>
    <phoneticPr fontId="3" type="noConversion"/>
  </si>
  <si>
    <t>GOW</t>
    <phoneticPr fontId="3" type="noConversion"/>
  </si>
  <si>
    <t>GOD</t>
    <phoneticPr fontId="3" type="noConversion"/>
  </si>
  <si>
    <t>GW</t>
    <phoneticPr fontId="3" type="noConversion"/>
  </si>
  <si>
    <t>Gd</t>
    <phoneticPr fontId="3" type="noConversion"/>
  </si>
  <si>
    <t xml:space="preserve"> 8.89(C)+32.3(H)-3.33(S)+0.8(N)-2.63(O)+1.244(W)</t>
    <phoneticPr fontId="3" type="noConversion"/>
  </si>
  <si>
    <t xml:space="preserve"> 8.89(C)+21.1(H)-3.33(S)+0.8(N)-2.63(O)</t>
    <phoneticPr fontId="3" type="noConversion"/>
  </si>
  <si>
    <t>(M-1)A0+GOW</t>
    <phoneticPr fontId="3" type="noConversion"/>
  </si>
  <si>
    <t>(M-1)A0+GOD</t>
    <phoneticPr fontId="3" type="noConversion"/>
  </si>
  <si>
    <t>Hg</t>
    <phoneticPr fontId="3" type="noConversion"/>
  </si>
  <si>
    <t>Hi</t>
    <phoneticPr fontId="3" type="noConversion"/>
  </si>
  <si>
    <t>8100(c)+34000(H-0/8)+2500(S)</t>
    <phoneticPr fontId="3" type="noConversion"/>
  </si>
  <si>
    <t>Hg-600(9H+MC wt%)</t>
    <phoneticPr fontId="3" type="noConversion"/>
  </si>
  <si>
    <t xml:space="preserve"> 1hr based</t>
    <phoneticPr fontId="3" type="noConversion"/>
  </si>
  <si>
    <t>m3/kg</t>
    <phoneticPr fontId="6" type="noConversion"/>
  </si>
  <si>
    <t>FW</t>
    <phoneticPr fontId="6" type="noConversion"/>
  </si>
  <si>
    <t>∑Qin: 입열 총계: q1+q2+q3</t>
    <phoneticPr fontId="6" type="noConversion"/>
  </si>
  <si>
    <r>
      <rPr>
        <b/>
        <sz val="11"/>
        <color rgb="FFFF0000"/>
        <rFont val="맑은 고딕"/>
        <family val="3"/>
        <charset val="129"/>
      </rPr>
      <t>∑Qout</t>
    </r>
    <r>
      <rPr>
        <b/>
        <sz val="7.7"/>
        <color rgb="FFFF0000"/>
        <rFont val="맑은 고딕"/>
        <family val="3"/>
        <charset val="129"/>
      </rPr>
      <t xml:space="preserve">: </t>
    </r>
    <r>
      <rPr>
        <b/>
        <sz val="11"/>
        <color rgb="FFFF0000"/>
        <rFont val="Calibri"/>
        <family val="3"/>
        <charset val="129"/>
        <scheme val="minor"/>
      </rPr>
      <t>Q1 제외 출열 총계: Q2 + Q3 +Q4</t>
    </r>
    <phoneticPr fontId="6" type="noConversion"/>
  </si>
  <si>
    <t>V ratio</t>
    <phoneticPr fontId="3" type="noConversion"/>
  </si>
  <si>
    <t>Sum A</t>
    <phoneticPr fontId="3" type="noConversion"/>
  </si>
  <si>
    <t>m3/hr</t>
    <phoneticPr fontId="3" type="noConversion"/>
  </si>
  <si>
    <t>Gas temp</t>
    <phoneticPr fontId="3" type="noConversion"/>
  </si>
  <si>
    <t>A in temp</t>
    <phoneticPr fontId="3" type="noConversion"/>
  </si>
  <si>
    <t>3-3-1 Q1 estimation</t>
    <phoneticPr fontId="3" type="noConversion"/>
  </si>
  <si>
    <t>Gt</t>
    <phoneticPr fontId="6" type="noConversion"/>
  </si>
  <si>
    <t>Cpg*tg</t>
    <phoneticPr fontId="6" type="noConversion"/>
  </si>
  <si>
    <t>Nm3/hr</t>
    <phoneticPr fontId="3" type="noConversion"/>
  </si>
  <si>
    <r>
      <t>Kcal/kg*</t>
    </r>
    <r>
      <rPr>
        <sz val="11"/>
        <color theme="1"/>
        <rFont val="맑은 고딕"/>
        <family val="1"/>
        <charset val="129"/>
      </rPr>
      <t>℃</t>
    </r>
    <phoneticPr fontId="6" type="noConversion"/>
  </si>
  <si>
    <t>From Cpg*tg Traial and error estimation is required</t>
    <phoneticPr fontId="3" type="noConversion"/>
  </si>
  <si>
    <t>Sum of Cpg</t>
  </si>
  <si>
    <t>Cpg*Tg</t>
  </si>
  <si>
    <t>900-1100</t>
    <phoneticPr fontId="3" type="noConversion"/>
  </si>
  <si>
    <t>1100-1200</t>
    <phoneticPr fontId="3" type="noConversion"/>
  </si>
  <si>
    <r>
      <t>Cpg*Tg is 416, its between 900-1100</t>
    </r>
    <r>
      <rPr>
        <sz val="11"/>
        <color theme="1"/>
        <rFont val="Segoe UI Symbol"/>
        <family val="1"/>
      </rPr>
      <t>℃ (353.3 - 443.8)</t>
    </r>
    <phoneticPr fontId="3" type="noConversion"/>
  </si>
  <si>
    <t>[Example]</t>
    <phoneticPr fontId="3" type="noConversion"/>
  </si>
  <si>
    <t>800-900</t>
    <phoneticPr fontId="3" type="noConversion"/>
  </si>
  <si>
    <r>
      <t>ΔCp /</t>
    </r>
    <r>
      <rPr>
        <sz val="11"/>
        <color theme="1"/>
        <rFont val="Segoe UI Symbol"/>
        <family val="1"/>
      </rPr>
      <t>℃</t>
    </r>
    <phoneticPr fontId="3" type="noConversion"/>
  </si>
  <si>
    <t xml:space="preserve"> =&gt; NO additional fuel is required</t>
    <phoneticPr fontId="3" type="noConversion"/>
  </si>
  <si>
    <t xml:space="preserve">Expected Gas temp: </t>
    <phoneticPr fontId="3" type="noConversion"/>
  </si>
  <si>
    <t>Expected Cpg</t>
    <phoneticPr fontId="3" type="noConversion"/>
  </si>
  <si>
    <t>A target temp</t>
    <phoneticPr fontId="3" type="noConversion"/>
  </si>
  <si>
    <r>
      <rPr>
        <sz val="11"/>
        <color theme="1"/>
        <rFont val="Calibri"/>
        <family val="3"/>
        <charset val="161"/>
      </rPr>
      <t>Δ</t>
    </r>
    <r>
      <rPr>
        <sz val="7.7"/>
        <color theme="1"/>
        <rFont val="Calibri"/>
        <family val="2"/>
      </rPr>
      <t>t</t>
    </r>
    <phoneticPr fontId="3" type="noConversion"/>
  </si>
  <si>
    <t>Cp,air</t>
    <phoneticPr fontId="3" type="noConversion"/>
  </si>
  <si>
    <r>
      <t>Kcal/m3*</t>
    </r>
    <r>
      <rPr>
        <sz val="11"/>
        <color theme="1"/>
        <rFont val="Segoe UI Symbol"/>
        <family val="2"/>
      </rPr>
      <t>℃</t>
    </r>
    <phoneticPr fontId="3" type="noConversion"/>
  </si>
  <si>
    <t>Gas V rate</t>
    <phoneticPr fontId="3" type="noConversion"/>
  </si>
  <si>
    <t>Q1 (Gt*Cpg*TG)</t>
    <phoneticPr fontId="3" type="noConversion"/>
  </si>
  <si>
    <t>190~260°C</t>
    <phoneticPr fontId="3" type="noConversion"/>
  </si>
  <si>
    <t xml:space="preserve"> 3-2-1 Total heat energy </t>
    <phoneticPr fontId="3" type="noConversion"/>
  </si>
  <si>
    <t>3-2-2 Air heat exchange</t>
    <phoneticPr fontId="3" type="noConversion"/>
  </si>
  <si>
    <t xml:space="preserve">3-3 Flu gas </t>
    <phoneticPr fontId="3" type="noConversion"/>
  </si>
  <si>
    <t>3-3-1 Bag filter</t>
    <phoneticPr fontId="3" type="noConversion"/>
  </si>
  <si>
    <t>3-3-2 SCR</t>
    <phoneticPr fontId="3" type="noConversion"/>
  </si>
  <si>
    <t>3.4 Disposal</t>
    <phoneticPr fontId="3" type="noConversion"/>
  </si>
  <si>
    <t>Dit required</t>
    <phoneticPr fontId="3" type="noConversion"/>
  </si>
  <si>
    <t>0. Material receiving</t>
    <phoneticPr fontId="3" type="noConversion"/>
  </si>
  <si>
    <t>Room T</t>
    <phoneticPr fontId="3" type="noConversion"/>
  </si>
  <si>
    <t>IEA WtE Boiler Heat Balance (Takano, 2019)</t>
    <phoneticPr fontId="3" type="noConversion"/>
  </si>
  <si>
    <t xml:space="preserve"> Economizer: </t>
    <phoneticPr fontId="3" type="noConversion"/>
  </si>
  <si>
    <t>3-2-4 Energy can generate steam</t>
    <phoneticPr fontId="3" type="noConversion"/>
  </si>
  <si>
    <r>
      <t xml:space="preserve"> 40 bar, 400</t>
    </r>
    <r>
      <rPr>
        <sz val="11"/>
        <color theme="1"/>
        <rFont val="Segoe UI Symbol"/>
        <family val="1"/>
      </rPr>
      <t>℃</t>
    </r>
    <r>
      <rPr>
        <sz val="6.05"/>
        <color theme="1"/>
        <rFont val="Calibri"/>
        <family val="2"/>
      </rPr>
      <t xml:space="preserve"> Superheated stem</t>
    </r>
    <phoneticPr fontId="3" type="noConversion"/>
  </si>
  <si>
    <t>Boiler transfer efficiency</t>
    <phoneticPr fontId="3" type="noConversion"/>
  </si>
  <si>
    <t>Feed water</t>
    <phoneticPr fontId="3" type="noConversion"/>
  </si>
  <si>
    <t>Stem Temp</t>
    <phoneticPr fontId="3" type="noConversion"/>
  </si>
  <si>
    <t>Cp water</t>
    <phoneticPr fontId="3" type="noConversion"/>
  </si>
  <si>
    <t>Kcal/kg/c</t>
    <phoneticPr fontId="3" type="noConversion"/>
  </si>
  <si>
    <r>
      <rPr>
        <sz val="11"/>
        <color theme="1"/>
        <rFont val="Calibri"/>
        <family val="3"/>
        <charset val="161"/>
      </rPr>
      <t>Δ</t>
    </r>
    <r>
      <rPr>
        <sz val="6.05"/>
        <color theme="1"/>
        <rFont val="Calibri"/>
        <family val="2"/>
      </rPr>
      <t xml:space="preserve">H = </t>
    </r>
    <r>
      <rPr>
        <sz val="11"/>
        <color theme="1"/>
        <rFont val="Calibri"/>
        <family val="2"/>
      </rPr>
      <t>H steam-Hwater (Kcal/kg)</t>
    </r>
    <phoneticPr fontId="3" type="noConversion"/>
  </si>
  <si>
    <r>
      <rPr>
        <sz val="6.05"/>
        <color theme="1"/>
        <rFont val="Calibri"/>
        <family val="2"/>
      </rPr>
      <t xml:space="preserve">H </t>
    </r>
    <r>
      <rPr>
        <sz val="11"/>
        <color theme="1"/>
        <rFont val="Calibri"/>
        <family val="3"/>
        <charset val="161"/>
      </rPr>
      <t xml:space="preserve"> Steam</t>
    </r>
    <phoneticPr fontId="3" type="noConversion"/>
  </si>
  <si>
    <r>
      <rPr>
        <sz val="6.05"/>
        <color theme="1"/>
        <rFont val="Calibri"/>
        <family val="2"/>
      </rPr>
      <t xml:space="preserve">H </t>
    </r>
    <r>
      <rPr>
        <sz val="11"/>
        <color theme="1"/>
        <rFont val="Calibri"/>
        <family val="3"/>
        <charset val="161"/>
      </rPr>
      <t xml:space="preserve"> water</t>
    </r>
    <phoneticPr fontId="3" type="noConversion"/>
  </si>
  <si>
    <t xml:space="preserve">ΔH </t>
    <phoneticPr fontId="3" type="noConversion"/>
  </si>
  <si>
    <t>Kcal/kg steam</t>
    <phoneticPr fontId="3" type="noConversion"/>
  </si>
  <si>
    <t>MJ/kg steam</t>
    <phoneticPr fontId="3" type="noConversion"/>
  </si>
  <si>
    <t>Kg steam /d</t>
    <phoneticPr fontId="3" type="noConversion"/>
  </si>
  <si>
    <t>Ton steam/d</t>
    <phoneticPr fontId="3" type="noConversion"/>
  </si>
  <si>
    <t>Ton/hr</t>
    <phoneticPr fontId="3" type="noConversion"/>
  </si>
  <si>
    <t>Turbin eff.</t>
    <phoneticPr fontId="3" type="noConversion"/>
  </si>
  <si>
    <t>Wh/Nm³</t>
    <phoneticPr fontId="3" type="noConversion"/>
  </si>
  <si>
    <t xml:space="preserve"> SO2 produced</t>
    <phoneticPr fontId="3" type="noConversion"/>
  </si>
  <si>
    <t>Nm3/d</t>
    <phoneticPr fontId="3" type="noConversion"/>
  </si>
  <si>
    <t>mol/d</t>
    <phoneticPr fontId="3" type="noConversion"/>
  </si>
  <si>
    <t>molS/d</t>
    <phoneticPr fontId="3" type="noConversion"/>
  </si>
  <si>
    <t>NaHCO3</t>
    <phoneticPr fontId="3" type="noConversion"/>
  </si>
  <si>
    <t>Stem</t>
    <phoneticPr fontId="3" type="noConversion"/>
  </si>
  <si>
    <r>
      <t xml:space="preserve"> =&gt; NO additional fuel is required (&gt;850</t>
    </r>
    <r>
      <rPr>
        <b/>
        <sz val="11"/>
        <color theme="1"/>
        <rFont val="Segoe UI Symbol"/>
        <family val="1"/>
      </rPr>
      <t>℃</t>
    </r>
    <r>
      <rPr>
        <b/>
        <sz val="6.05"/>
        <color theme="1"/>
        <rFont val="Calibri"/>
        <family val="2"/>
      </rPr>
      <t>)</t>
    </r>
    <phoneticPr fontId="3" type="noConversion"/>
  </si>
  <si>
    <t xml:space="preserve"> 2-1 Composition</t>
    <phoneticPr fontId="3" type="noConversion"/>
  </si>
  <si>
    <t>Alcoholysis</t>
    <phoneticPr fontId="3" type="noConversion"/>
  </si>
  <si>
    <t>N2</t>
    <phoneticPr fontId="3" type="noConversion"/>
  </si>
  <si>
    <t>M3 (25c)</t>
    <phoneticPr fontId="3" type="noConversion"/>
  </si>
  <si>
    <t>2-3-2  Ethyl lactate mass balance</t>
    <phoneticPr fontId="3" type="noConversion"/>
  </si>
  <si>
    <t>Ethyl lactate</t>
    <phoneticPr fontId="3" type="noConversion"/>
  </si>
  <si>
    <t>Distilation</t>
    <phoneticPr fontId="3" type="noConversion"/>
  </si>
  <si>
    <t>Heating</t>
    <phoneticPr fontId="3" type="noConversion"/>
  </si>
  <si>
    <t>2-1-2 Condensor</t>
    <phoneticPr fontId="3" type="noConversion"/>
  </si>
  <si>
    <t>2-1-1 Heating</t>
    <phoneticPr fontId="3" type="noConversion"/>
  </si>
  <si>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Calibri"/>
        <family val="3"/>
      </rPr>
      <t>/kg</t>
    </r>
    <phoneticPr fontId="3" type="noConversion"/>
  </si>
  <si>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Calibri"/>
        <family val="2"/>
      </rPr>
      <t>/L</t>
    </r>
    <phoneticPr fontId="3" type="noConversion"/>
  </si>
  <si>
    <t>KRW/USD</t>
    <phoneticPr fontId="3" type="noConversion"/>
  </si>
  <si>
    <t>m3/원</t>
  </si>
  <si>
    <t>MgO (96%)</t>
    <phoneticPr fontId="3" type="noConversion"/>
  </si>
  <si>
    <t>https://xzhchemical.en.made-in-china.com/product/ZTRUpcdOnrYv/China-Low-Heavy-Metal-Content-Chemical-Magnesium-Oxide-MGO-96-Powder.html#:~:text=Low%20Heavy%20Metal%20Content%20Chemical%20Magnesium%20Oxide,Tons.%20*%20US$700.0050%2D99%20Tons.%20*%20US$650.00100+%20Tons.</t>
    <phoneticPr fontId="3" type="noConversion"/>
  </si>
  <si>
    <t>원/kg</t>
    <phoneticPr fontId="3" type="noConversion"/>
  </si>
  <si>
    <t>USD/L (USD/kg)</t>
    <phoneticPr fontId="3" type="noConversion"/>
  </si>
  <si>
    <t>https://beixings.en.made-in-china.com/product/MRkYaTHoHPhd/China-Electronics-Semiconductors-Cleaners-Raw-Material-Ethyl-Lactate-CAS-97-64-3.html?pv_id=1jaortlg262b&amp;faw_id=1jaorvdurad&amp;bv_id=1jaorvdusba8&amp;pbv_id=1jaortjs76e9j</t>
    <phoneticPr fontId="3" type="noConversion"/>
  </si>
  <si>
    <t>https://kr.made-in-china.com/co_sincerechemical01/product_Industrial-Grade-Ammonia-Water-25-Ammonium-Hydroxide_uohhssyiry.html</t>
    <phoneticPr fontId="3" type="noConversion"/>
  </si>
  <si>
    <t>Hydrolysis</t>
    <phoneticPr fontId="3" type="noConversion"/>
  </si>
  <si>
    <t>Colling</t>
    <phoneticPr fontId="3" type="noConversion"/>
  </si>
  <si>
    <t>PH&amp;Nut adj.</t>
    <phoneticPr fontId="3" type="noConversion"/>
  </si>
  <si>
    <t>AD operation (for FW)</t>
    <phoneticPr fontId="3" type="noConversion"/>
  </si>
  <si>
    <t>AD operation (for PLA)</t>
    <phoneticPr fontId="3" type="noConversion"/>
  </si>
  <si>
    <t>NH3 (25%)</t>
  </si>
  <si>
    <t>H3PO4 (85%)</t>
  </si>
  <si>
    <t>Shreading</t>
    <phoneticPr fontId="3" type="noConversion"/>
  </si>
  <si>
    <t>3-2-3 Economizer</t>
    <phoneticPr fontId="3" type="noConversion"/>
  </si>
  <si>
    <t>Turbine</t>
    <phoneticPr fontId="3" type="noConversion"/>
  </si>
  <si>
    <t>Total heat</t>
    <phoneticPr fontId="3" type="noConversion"/>
  </si>
  <si>
    <t>Air heating</t>
    <phoneticPr fontId="3" type="noConversion"/>
  </si>
  <si>
    <t>Economizer</t>
    <phoneticPr fontId="3" type="noConversion"/>
  </si>
  <si>
    <t>Bag filter</t>
    <phoneticPr fontId="3" type="noConversion"/>
  </si>
  <si>
    <t>Ash</t>
    <phoneticPr fontId="3" type="noConversion"/>
  </si>
  <si>
    <t>Disposal</t>
    <phoneticPr fontId="3" type="noConversion"/>
  </si>
  <si>
    <t>원/kWh (buy)</t>
    <phoneticPr fontId="6" type="noConversion"/>
  </si>
  <si>
    <t>원/MJ</t>
    <phoneticPr fontId="6" type="noConversion"/>
  </si>
  <si>
    <t>USD/MJ 도시가스</t>
    <phoneticPr fontId="3" type="noConversion"/>
  </si>
  <si>
    <t>Incineration</t>
    <phoneticPr fontId="3" type="noConversion"/>
  </si>
  <si>
    <t>polyacrylamide</t>
    <phoneticPr fontId="3" type="noConversion"/>
  </si>
  <si>
    <t>polyaluminum chloride</t>
    <phoneticPr fontId="3" type="noConversion"/>
  </si>
  <si>
    <t>PAC:PAM = 50:50</t>
    <phoneticPr fontId="3" type="noConversion"/>
  </si>
  <si>
    <t>https://korean.alibaba.com/product-detail/Polyelectrolyte-Cationic-Polyacrylamide-Flocculant-Price-PAM-60790137110.html#:~:text=%ED%8F%B4%EB%A6%AC%EC%9D%BC%EB%A0%89%ED%8A%B8%EB%A1%9C%EB%9D%BC%EC%9D%B4%ED%8A%B8%20%EC%96%91%EC%9D%B4%EC%98%A8%EC%84%B1%20%EA%B3%A0%EB%B6%84%EC%9E%90%20%EC%9D%91%EC%A7%91%EC%A0%9C%20PAM%EC%9D%80%201%25%20%EC%9A%A9%EC%95%A1,%EA%B3%A0%EC%B2%B4%ED%95%A8%EB%9F%89%2090%25%20%EC%9D%B4%EC%83%81%20%EB%B6%84%EB%A7%90%EB%A1%9C%20%ED%8F%90%EC%88%98%20%EC%B2%98%EB%A6%AC%EC%97%90%20%EC%A0%81%ED%95%A9%ED%95%A9%EB%8B%88%EB%8B%A4.</t>
  </si>
  <si>
    <t>USD/kg</t>
    <phoneticPr fontId="3" type="noConversion"/>
  </si>
  <si>
    <t>% (200ppm)</t>
    <phoneticPr fontId="3" type="noConversion"/>
  </si>
  <si>
    <t>kg/d</t>
  </si>
  <si>
    <t>https://www.alibaba.com/product-detail/Factory-Supply-Wastewater-Treatment-PAC-28_1601232516190.html?spm=a2700.prosearch.normal_offer.d_image.785667afk3E5Bm&amp;priceId=fb79310949174356bc80ae320748cda8</t>
    <phoneticPr fontId="3" type="noConversion"/>
  </si>
  <si>
    <t>PAM (40%W/W)</t>
    <phoneticPr fontId="3" type="noConversion"/>
  </si>
  <si>
    <t>PAC (10%W/W)</t>
    <phoneticPr fontId="3" type="noConversion"/>
  </si>
  <si>
    <t>kg/d</t>
    <phoneticPr fontId="3" type="noConversion"/>
  </si>
  <si>
    <t xml:space="preserve"> PAM (90%)</t>
    <phoneticPr fontId="3" type="noConversion"/>
  </si>
  <si>
    <t xml:space="preserve"> PAC (30%)</t>
    <phoneticPr fontId="3" type="noConversion"/>
  </si>
  <si>
    <t>Net energy</t>
    <phoneticPr fontId="3" type="noConversion"/>
  </si>
  <si>
    <t>Electricity</t>
    <phoneticPr fontId="3" type="noConversion"/>
  </si>
  <si>
    <t>Net operation cost</t>
    <phoneticPr fontId="3" type="noConversion"/>
  </si>
  <si>
    <t>LNG</t>
    <phoneticPr fontId="3" type="noConversion"/>
  </si>
  <si>
    <t>ASH</t>
    <phoneticPr fontId="3" type="noConversion"/>
  </si>
  <si>
    <t>m3/ton</t>
    <phoneticPr fontId="3" type="noConversion"/>
  </si>
  <si>
    <t>Not burn</t>
    <phoneticPr fontId="3" type="noConversion"/>
  </si>
  <si>
    <t>Incineration</t>
    <phoneticPr fontId="3" type="noConversion"/>
  </si>
  <si>
    <t xml:space="preserve"> kg CO₂/kWh</t>
    <phoneticPr fontId="3" type="noConversion"/>
  </si>
  <si>
    <t>kgCO2/Kwh</t>
    <phoneticPr fontId="3" type="noConversion"/>
  </si>
  <si>
    <t>3. Recycling Process (Scenario 1-1 Incineration)</t>
    <phoneticPr fontId="3" type="noConversion"/>
  </si>
  <si>
    <t>2. Recycling Process (Scenario 2: Extrution)</t>
    <phoneticPr fontId="3" type="noConversion"/>
  </si>
  <si>
    <t>2. Recycling Process (Scenario 1-2: Incineration with AD)</t>
    <phoneticPr fontId="3" type="noConversion"/>
  </si>
  <si>
    <t>2. Recycling Process (Scenario 3: Chemical recycling)</t>
    <phoneticPr fontId="3" type="noConversion"/>
  </si>
  <si>
    <t>2. Recycling Process (Scenario 4: AD recycling)</t>
    <phoneticPr fontId="3" type="noConversion"/>
  </si>
  <si>
    <t>[Efficiency table]</t>
    <phoneticPr fontId="3" type="noConversion"/>
  </si>
  <si>
    <t>Adjusted for 'uncertainity test'</t>
    <phoneticPr fontId="3" type="noConversion"/>
  </si>
  <si>
    <t>kcal/hr, Incineration eff. 95%</t>
    <phoneticPr fontId="6" type="noConversion"/>
  </si>
  <si>
    <t>Boiler transfer</t>
    <phoneticPr fontId="3" type="noConversion"/>
  </si>
  <si>
    <t>Safety factor</t>
    <phoneticPr fontId="3" type="noConversion"/>
  </si>
  <si>
    <t>Heaing</t>
    <phoneticPr fontId="3" type="noConversion"/>
  </si>
  <si>
    <t>Turbin</t>
    <phoneticPr fontId="3" type="noConversion"/>
  </si>
  <si>
    <t>%</t>
    <phoneticPr fontId="3" type="noConversion"/>
  </si>
  <si>
    <t>AD digester</t>
    <phoneticPr fontId="3" type="noConversion"/>
  </si>
  <si>
    <t>% of COD, VS</t>
    <phoneticPr fontId="3" type="noConversion"/>
  </si>
  <si>
    <t>CH4</t>
    <phoneticPr fontId="3" type="noConversion"/>
  </si>
  <si>
    <t>CHP Electricity</t>
    <phoneticPr fontId="3" type="noConversion"/>
  </si>
  <si>
    <t>AD for LA</t>
    <phoneticPr fontId="3" type="noConversion"/>
  </si>
  <si>
    <t>EL yield</t>
    <phoneticPr fontId="3" type="noConversion"/>
  </si>
  <si>
    <t>RPLA yield</t>
    <phoneticPr fontId="3" type="noConversion"/>
  </si>
  <si>
    <t>%</t>
    <phoneticPr fontId="3" type="noConversion"/>
  </si>
  <si>
    <t>PLA cleaning yield</t>
    <phoneticPr fontId="3" type="noConversion"/>
  </si>
  <si>
    <t>CHP Electricity</t>
  </si>
  <si>
    <t>CHP Heat</t>
  </si>
  <si>
    <t>CHP Heat</t>
    <phoneticPr fontId="3" type="noConversion"/>
  </si>
  <si>
    <t>EL Yield</t>
    <phoneticPr fontId="3" type="noConversion"/>
  </si>
  <si>
    <t xml:space="preserve"> </t>
    <phoneticPr fontId="3" type="noConversion"/>
  </si>
  <si>
    <t>Adustable part</t>
    <phoneticPr fontId="3" type="noConversion"/>
  </si>
  <si>
    <t>Line mixer cost</t>
    <phoneticPr fontId="3" type="noConversion"/>
  </si>
  <si>
    <t>Conversion factor</t>
    <phoneticPr fontId="3" type="noConversion"/>
  </si>
  <si>
    <t>[price table]</t>
    <phoneticPr fontId="3" type="noConversion"/>
  </si>
  <si>
    <t>표면적</t>
    <phoneticPr fontId="6" type="noConversion"/>
  </si>
  <si>
    <t>Specific heat Capacity (of water)</t>
    <phoneticPr fontId="3" type="noConversion"/>
  </si>
  <si>
    <t>Latent Heat</t>
    <phoneticPr fontId="3" type="noConversion"/>
  </si>
  <si>
    <t>Specific heat Capacity (of steam)</t>
    <phoneticPr fontId="3" type="noConversion"/>
  </si>
  <si>
    <t>Cooling Eff.</t>
    <phoneticPr fontId="6" type="noConversion"/>
  </si>
  <si>
    <r>
      <t xml:space="preserve">0.6 ~ 2.3 </t>
    </r>
    <r>
      <rPr>
        <sz val="11"/>
        <color theme="1"/>
        <rFont val="Calibri"/>
        <family val="3"/>
      </rPr>
      <t>average</t>
    </r>
    <phoneticPr fontId="3" type="noConversion"/>
  </si>
  <si>
    <t>* MC: Mositrue contents</t>
    <phoneticPr fontId="3" type="noConversion"/>
  </si>
  <si>
    <r>
      <rPr>
        <sz val="11"/>
        <color theme="1"/>
        <rFont val="Calibri"/>
        <family val="3"/>
      </rPr>
      <t>Proximate analysis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삼성분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</rPr>
      <t xml:space="preserve"> (%)</t>
    </r>
    <phoneticPr fontId="3" type="noConversion"/>
  </si>
  <si>
    <r>
      <rPr>
        <sz val="11"/>
        <color theme="1"/>
        <rFont val="Calibri"/>
        <family val="3"/>
      </rPr>
      <t xml:space="preserve">Elemental Analysis </t>
    </r>
    <r>
      <rPr>
        <sz val="11"/>
        <color theme="1"/>
        <rFont val="맑은 고딕"/>
        <family val="3"/>
        <charset val="129"/>
      </rPr>
      <t>원소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결과</t>
    </r>
    <r>
      <rPr>
        <sz val="11"/>
        <color theme="1"/>
        <rFont val="Calibri"/>
        <family val="2"/>
      </rPr>
      <t xml:space="preserve"> (%)</t>
    </r>
    <phoneticPr fontId="3" type="noConversion"/>
  </si>
  <si>
    <t>Conbustible</t>
    <phoneticPr fontId="3" type="noConversion"/>
  </si>
  <si>
    <r>
      <t>CO</t>
    </r>
    <r>
      <rPr>
        <vertAlign val="subscript"/>
        <sz val="11"/>
        <color theme="1"/>
        <rFont val="Calibri"/>
        <family val="3"/>
        <charset val="129"/>
        <scheme val="minor"/>
      </rPr>
      <t>2</t>
    </r>
    <phoneticPr fontId="6" type="noConversion"/>
  </si>
  <si>
    <r>
      <t>O</t>
    </r>
    <r>
      <rPr>
        <vertAlign val="subscript"/>
        <sz val="11"/>
        <color theme="1"/>
        <rFont val="Calibri"/>
        <family val="3"/>
        <charset val="129"/>
        <scheme val="minor"/>
      </rPr>
      <t>2</t>
    </r>
    <phoneticPr fontId="6" type="noConversion"/>
  </si>
  <si>
    <r>
      <t>N</t>
    </r>
    <r>
      <rPr>
        <vertAlign val="subscript"/>
        <sz val="11"/>
        <color theme="1"/>
        <rFont val="Calibri"/>
        <family val="3"/>
        <charset val="129"/>
        <scheme val="minor"/>
      </rPr>
      <t>2</t>
    </r>
    <phoneticPr fontId="6" type="noConversion"/>
  </si>
  <si>
    <r>
      <t>H</t>
    </r>
    <r>
      <rPr>
        <vertAlign val="subscript"/>
        <sz val="11"/>
        <color theme="1"/>
        <rFont val="Calibri"/>
        <family val="3"/>
        <charset val="129"/>
        <scheme val="minor"/>
      </rPr>
      <t>2</t>
    </r>
    <r>
      <rPr>
        <sz val="11"/>
        <color theme="1"/>
        <rFont val="Calibri"/>
        <family val="3"/>
        <charset val="129"/>
        <scheme val="minor"/>
      </rPr>
      <t>O</t>
    </r>
    <phoneticPr fontId="6" type="noConversion"/>
  </si>
  <si>
    <r>
      <t>SO</t>
    </r>
    <r>
      <rPr>
        <vertAlign val="subscript"/>
        <sz val="11"/>
        <color theme="1"/>
        <rFont val="Calibri"/>
        <family val="3"/>
        <charset val="129"/>
        <scheme val="minor"/>
      </rPr>
      <t>2</t>
    </r>
    <phoneticPr fontId="6" type="noConversion"/>
  </si>
  <si>
    <t>Sum</t>
    <phoneticPr fontId="6" type="noConversion"/>
  </si>
  <si>
    <t>Total Heat produced</t>
    <phoneticPr fontId="3" type="noConversion"/>
  </si>
  <si>
    <t>Air heating</t>
    <phoneticPr fontId="3" type="noConversion"/>
  </si>
  <si>
    <t>Economizer</t>
    <phoneticPr fontId="3" type="noConversion"/>
  </si>
  <si>
    <t>Useable heat</t>
    <phoneticPr fontId="3" type="noConversion"/>
  </si>
  <si>
    <r>
      <t>Temp (</t>
    </r>
    <r>
      <rPr>
        <sz val="11"/>
        <color theme="1"/>
        <rFont val="Segoe UI Symbol"/>
        <family val="1"/>
      </rPr>
      <t>℃</t>
    </r>
    <r>
      <rPr>
        <sz val="6.05"/>
        <color theme="1"/>
        <rFont val="Calibri"/>
        <family val="2"/>
      </rPr>
      <t>)</t>
    </r>
    <phoneticPr fontId="3" type="noConversion"/>
  </si>
  <si>
    <t>Safe factor</t>
    <phoneticPr fontId="3" type="noConversion"/>
  </si>
  <si>
    <t>Ditergent</t>
    <phoneticPr fontId="3" type="noConversion"/>
  </si>
  <si>
    <t>Water</t>
    <phoneticPr fontId="3" type="noConversion"/>
  </si>
  <si>
    <t>Reactor size calculation</t>
    <phoneticPr fontId="6" type="noConversion"/>
  </si>
  <si>
    <t>2(D):3(H)</t>
    <phoneticPr fontId="3" type="noConversion"/>
  </si>
  <si>
    <r>
      <t xml:space="preserve">25% </t>
    </r>
    <r>
      <rPr>
        <sz val="11"/>
        <color theme="1"/>
        <rFont val="Calibri"/>
        <family val="3"/>
      </rPr>
      <t>NH3 density</t>
    </r>
    <phoneticPr fontId="3" type="noConversion"/>
  </si>
  <si>
    <r>
      <t xml:space="preserve">85% </t>
    </r>
    <r>
      <rPr>
        <sz val="11"/>
        <color theme="1"/>
        <rFont val="Calibri"/>
        <family val="3"/>
      </rPr>
      <t>H3PO4 density</t>
    </r>
    <phoneticPr fontId="3" type="noConversion"/>
  </si>
  <si>
    <t>Coagulant</t>
    <phoneticPr fontId="3" type="noConversion"/>
  </si>
  <si>
    <t>Maximum moisture content law allwoed</t>
  </si>
  <si>
    <t>Maximum moisture content law allwoed</t>
    <phoneticPr fontId="3" type="noConversion"/>
  </si>
  <si>
    <t>V verification</t>
    <phoneticPr fontId="6" type="noConversion"/>
  </si>
  <si>
    <t>Serface area</t>
    <phoneticPr fontId="6" type="noConversion"/>
  </si>
  <si>
    <t>Heat/mass</t>
    <phoneticPr fontId="3" type="noConversion"/>
  </si>
  <si>
    <t>Cooling elecricirty required</t>
    <phoneticPr fontId="3" type="noConversion"/>
  </si>
  <si>
    <t>Specific heat at constant pressure Cp (Kcal/Nm3c)</t>
    <phoneticPr fontId="6" type="noConversion"/>
  </si>
  <si>
    <t>Specific heat at constant pressure (considering gas compostion), (Kcal/m3C)</t>
    <phoneticPr fontId="3" type="noConversion"/>
  </si>
  <si>
    <t>Trash in temp</t>
    <phoneticPr fontId="6" type="noConversion"/>
  </si>
  <si>
    <t>Mt: trash amount</t>
    <phoneticPr fontId="6" type="noConversion"/>
  </si>
  <si>
    <t>Cpr (Specific heat Capacity (waste))</t>
    <phoneticPr fontId="6" type="noConversion"/>
  </si>
  <si>
    <t>q1(Mt * Cpr * Trash in temp)</t>
    <phoneticPr fontId="6" type="noConversion"/>
  </si>
  <si>
    <t>Unit &amp; Ref.</t>
    <phoneticPr fontId="6" type="noConversion"/>
  </si>
  <si>
    <t>Category</t>
    <phoneticPr fontId="6" type="noConversion"/>
  </si>
  <si>
    <t xml:space="preserve">  * 1hr based</t>
    <phoneticPr fontId="3" type="noConversion"/>
  </si>
  <si>
    <t>Cpw: 수분비열</t>
    <phoneticPr fontId="6" type="noConversion"/>
  </si>
  <si>
    <t>Cpa: 가연분 비열</t>
    <phoneticPr fontId="6" type="noConversion"/>
  </si>
  <si>
    <t>Cpb: 회분비열</t>
    <phoneticPr fontId="6" type="noConversion"/>
  </si>
  <si>
    <t>q2 (폐기물 발열량) = Hi * Mt</t>
    <phoneticPr fontId="6" type="noConversion"/>
  </si>
  <si>
    <t xml:space="preserve">High calorific value </t>
    <phoneticPr fontId="3" type="noConversion"/>
  </si>
  <si>
    <t>Low calorific value</t>
    <phoneticPr fontId="3" type="noConversion"/>
  </si>
  <si>
    <t>q3 (Sensible heat retention in inflow air)</t>
    <phoneticPr fontId="6" type="noConversion"/>
  </si>
  <si>
    <t>연소공기량: A</t>
    <phoneticPr fontId="6" type="noConversion"/>
  </si>
  <si>
    <t>공기비열: Cp air</t>
    <phoneticPr fontId="6" type="noConversion"/>
  </si>
  <si>
    <t>Air temp</t>
    <phoneticPr fontId="6" type="noConversion"/>
  </si>
  <si>
    <t>*c</t>
    <phoneticPr fontId="3" type="noConversion"/>
  </si>
  <si>
    <t>This part will evaluated by follwed part</t>
    <phoneticPr fontId="6" type="noConversion"/>
  </si>
  <si>
    <r>
      <t>3-3 Theoretiacl heat capacity</t>
    </r>
    <r>
      <rPr>
        <b/>
        <sz val="11"/>
        <color theme="1"/>
        <rFont val="맑은 고딕"/>
        <family val="2"/>
        <charset val="129"/>
      </rPr>
      <t xml:space="preserve"> (고위, 저위 발열량)</t>
    </r>
    <phoneticPr fontId="3" type="noConversion"/>
  </si>
  <si>
    <t>Theoretical Combustion Wet Gas Volume</t>
    <phoneticPr fontId="6" type="noConversion"/>
  </si>
  <si>
    <t>Theoretical Combustion Dry Gas Volume</t>
    <phoneticPr fontId="6" type="noConversion"/>
  </si>
  <si>
    <t>Actual Combustion Wet Gas Volume</t>
    <phoneticPr fontId="6" type="noConversion"/>
  </si>
  <si>
    <t>Actual Combustion Dry Gas Volume</t>
    <phoneticPr fontId="6" type="noConversion"/>
  </si>
  <si>
    <t>Theoretical air volume</t>
    <phoneticPr fontId="3" type="noConversion"/>
  </si>
  <si>
    <t>Air ratio</t>
    <phoneticPr fontId="3" type="noConversion"/>
  </si>
  <si>
    <t>Actual air volume</t>
    <phoneticPr fontId="3" type="noConversion"/>
  </si>
  <si>
    <t>3-1 Air volume</t>
    <phoneticPr fontId="3" type="noConversion"/>
  </si>
  <si>
    <r>
      <t xml:space="preserve">3-2 </t>
    </r>
    <r>
      <rPr>
        <b/>
        <sz val="11"/>
        <color theme="1"/>
        <rFont val="Calibri"/>
        <family val="3"/>
      </rPr>
      <t>Combustion gas amount</t>
    </r>
    <phoneticPr fontId="3" type="noConversion"/>
  </si>
  <si>
    <r>
      <t xml:space="preserve"> 1) </t>
    </r>
    <r>
      <rPr>
        <sz val="11"/>
        <color theme="1"/>
        <rFont val="Calibri"/>
        <family val="3"/>
      </rPr>
      <t>General info</t>
    </r>
    <phoneticPr fontId="3" type="noConversion"/>
  </si>
  <si>
    <r>
      <t xml:space="preserve"> 2) </t>
    </r>
    <r>
      <rPr>
        <sz val="11"/>
        <color theme="1"/>
        <rFont val="Calibri"/>
        <family val="3"/>
      </rPr>
      <t>Unit combustion gas volume</t>
    </r>
    <phoneticPr fontId="3" type="noConversion"/>
  </si>
  <si>
    <t>3) Total amount and volume fraction generated (Nm3/d)</t>
    <phoneticPr fontId="3" type="noConversion"/>
  </si>
  <si>
    <t>Unburned waste</t>
    <phoneticPr fontId="3" type="noConversion"/>
  </si>
  <si>
    <t>Heating energy required</t>
    <phoneticPr fontId="3" type="noConversion"/>
  </si>
  <si>
    <t>Chimny temp</t>
    <phoneticPr fontId="3" type="noConversion"/>
  </si>
  <si>
    <t>pressure head</t>
    <phoneticPr fontId="3" type="noConversion"/>
  </si>
  <si>
    <r>
      <t xml:space="preserve">4-5-4 </t>
    </r>
    <r>
      <rPr>
        <b/>
        <sz val="11"/>
        <color theme="1"/>
        <rFont val="Calibri"/>
        <family val="3"/>
      </rPr>
      <t>Final required landfill capacity</t>
    </r>
    <phoneticPr fontId="3" type="noConversion"/>
  </si>
  <si>
    <t>4-5-4Final required landfill capacity</t>
    <phoneticPr fontId="3" type="noConversion"/>
  </si>
  <si>
    <t>Total</t>
    <phoneticPr fontId="3" type="noConversion"/>
  </si>
  <si>
    <t>GJ/d</t>
    <phoneticPr fontId="3" type="noConversion"/>
  </si>
  <si>
    <r>
      <t xml:space="preserve">3-5-4 </t>
    </r>
    <r>
      <rPr>
        <b/>
        <sz val="11"/>
        <color theme="1"/>
        <rFont val="Calibri"/>
        <family val="3"/>
      </rPr>
      <t>4Final required landfill capacity</t>
    </r>
    <phoneticPr fontId="3" type="noConversion"/>
  </si>
  <si>
    <r>
      <t>PLA</t>
    </r>
    <r>
      <rPr>
        <sz val="11"/>
        <color theme="1"/>
        <rFont val="Calibri"/>
        <family val="3"/>
      </rPr>
      <t>latent heat of fusion</t>
    </r>
    <phoneticPr fontId="3" type="noConversion"/>
  </si>
  <si>
    <t>Heating eff.</t>
    <phoneticPr fontId="6" type="noConversion"/>
  </si>
  <si>
    <r>
      <t>Heating (</t>
    </r>
    <r>
      <rPr>
        <sz val="11"/>
        <color theme="1"/>
        <rFont val="Calibri"/>
        <family val="2"/>
      </rPr>
      <t>2/3  of total)</t>
    </r>
    <phoneticPr fontId="6" type="noConversion"/>
  </si>
  <si>
    <r>
      <t>Moter (</t>
    </r>
    <r>
      <rPr>
        <sz val="11"/>
        <color theme="1"/>
        <rFont val="Calibri"/>
        <family val="2"/>
      </rPr>
      <t>1/3  of total)</t>
    </r>
    <phoneticPr fontId="6" type="noConversion"/>
  </si>
  <si>
    <t>Heat load/mass</t>
    <phoneticPr fontId="3" type="noConversion"/>
  </si>
  <si>
    <t>Cooling electriciry reqired</t>
    <phoneticPr fontId="3" type="noConversion"/>
  </si>
  <si>
    <t>heating energy</t>
    <phoneticPr fontId="3" type="noConversion"/>
  </si>
  <si>
    <r>
      <t xml:space="preserve">2-4-2 </t>
    </r>
    <r>
      <rPr>
        <b/>
        <sz val="11"/>
        <color theme="1"/>
        <rFont val="Calibri"/>
        <family val="3"/>
      </rPr>
      <t>Reboiler latent heat (distillation core load)</t>
    </r>
    <phoneticPr fontId="6" type="noConversion"/>
  </si>
  <si>
    <r>
      <t xml:space="preserve">2-4-1 </t>
    </r>
    <r>
      <rPr>
        <b/>
        <sz val="11"/>
        <color theme="1"/>
        <rFont val="Calibri"/>
        <family val="3"/>
      </rPr>
      <t>heat increase</t>
    </r>
    <phoneticPr fontId="3" type="noConversion"/>
  </si>
  <si>
    <t>Pressure</t>
    <phoneticPr fontId="6" type="noConversion"/>
  </si>
  <si>
    <t>Bottom temperature</t>
    <phoneticPr fontId="6" type="noConversion"/>
  </si>
  <si>
    <t>Top temperature</t>
    <phoneticPr fontId="6" type="noConversion"/>
  </si>
  <si>
    <t>Reflux ratio</t>
    <phoneticPr fontId="6" type="noConversion"/>
  </si>
  <si>
    <t>Internal evaporation coefficient</t>
    <phoneticPr fontId="6" type="noConversion"/>
  </si>
  <si>
    <t>Qheating</t>
    <phoneticPr fontId="6" type="noConversion"/>
  </si>
  <si>
    <r>
      <t>Q EtOH heading to reactor top (</t>
    </r>
    <r>
      <rPr>
        <sz val="11"/>
        <color theme="1"/>
        <rFont val="맑은 고딕"/>
        <family val="2"/>
        <charset val="129"/>
      </rPr>
      <t>보수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가정</t>
    </r>
    <r>
      <rPr>
        <sz val="11"/>
        <color theme="1"/>
        <rFont val="Calibri"/>
        <family val="2"/>
      </rPr>
      <t xml:space="preserve">) = </t>
    </r>
    <phoneticPr fontId="6" type="noConversion"/>
  </si>
  <si>
    <r>
      <rPr>
        <sz val="11"/>
        <color theme="1"/>
        <rFont val="Calibri"/>
        <family val="3"/>
      </rPr>
      <t>Q H2O heading to reactor top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3"/>
        <charset val="129"/>
      </rPr>
      <t>보수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가정</t>
    </r>
    <r>
      <rPr>
        <sz val="11"/>
        <color theme="1"/>
        <rFont val="Calibri"/>
        <family val="2"/>
      </rPr>
      <t>) = -</t>
    </r>
    <phoneticPr fontId="6" type="noConversion"/>
  </si>
  <si>
    <t>EtOH latent heat of vaporization</t>
    <phoneticPr fontId="3" type="noConversion"/>
  </si>
  <si>
    <t>H2O latent heat of vaporization</t>
    <phoneticPr fontId="3" type="noConversion"/>
  </si>
  <si>
    <t>22 tons of cooling water, 10 degree increase/decrease from 30 degrees, using a cooling tower</t>
    <phoneticPr fontId="6" type="noConversion"/>
  </si>
  <si>
    <r>
      <t xml:space="preserve">2-4-3 </t>
    </r>
    <r>
      <rPr>
        <b/>
        <sz val="11"/>
        <color theme="1"/>
        <rFont val="Calibri"/>
        <family val="3"/>
      </rPr>
      <t>condensation heat</t>
    </r>
    <phoneticPr fontId="3" type="noConversion"/>
  </si>
  <si>
    <t>Electricity consumption rate coefficient (a)</t>
    <phoneticPr fontId="6" type="noConversion"/>
  </si>
  <si>
    <t xml:space="preserve"> * Ignore the EtOH pressurized pressure</t>
    <phoneticPr fontId="6" type="noConversion"/>
  </si>
  <si>
    <t xml:space="preserve">Heat of moisture heating </t>
    <phoneticPr fontId="3" type="noConversion"/>
  </si>
  <si>
    <t>Evaporation heat</t>
    <phoneticPr fontId="3" type="noConversion"/>
  </si>
  <si>
    <t>Specific heat of water vapor at constant pressure</t>
    <phoneticPr fontId="3" type="noConversion"/>
  </si>
  <si>
    <t>Specific heat of liquid</t>
    <phoneticPr fontId="3" type="noConversion"/>
  </si>
  <si>
    <t>latent heat</t>
    <phoneticPr fontId="3" type="noConversion"/>
  </si>
  <si>
    <t>Cooling eletriciry required</t>
    <phoneticPr fontId="3" type="noConversion"/>
  </si>
  <si>
    <t>Unit</t>
    <phoneticPr fontId="3" type="noConversion"/>
  </si>
  <si>
    <t>Process</t>
    <phoneticPr fontId="3" type="noConversion"/>
  </si>
  <si>
    <r>
      <t>CO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volume</t>
    </r>
    <phoneticPr fontId="3" type="noConversion"/>
  </si>
  <si>
    <t>Process</t>
    <phoneticPr fontId="3" type="noConversion"/>
  </si>
  <si>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Calibri"/>
        <family val="2"/>
      </rPr>
      <t>Hf (Recrystallization enthalpy)</t>
    </r>
    <phoneticPr fontId="6" type="noConversion"/>
  </si>
  <si>
    <t>Enthalpy of fusion</t>
    <phoneticPr fontId="6" type="noConversion"/>
  </si>
  <si>
    <t>Warming energy</t>
    <phoneticPr fontId="6" type="noConversion"/>
  </si>
  <si>
    <t>Discharge</t>
    <phoneticPr fontId="6" type="noConversion"/>
  </si>
  <si>
    <t>Cooling target temp</t>
    <phoneticPr fontId="6" type="noConversion"/>
  </si>
  <si>
    <t>Coolling energy required</t>
    <phoneticPr fontId="6" type="noConversion"/>
  </si>
  <si>
    <t xml:space="preserve"> </t>
    <phoneticPr fontId="3" type="noConversion"/>
  </si>
  <si>
    <t xml:space="preserve"> * for this calculation, Effect each PLA and FW of the common process is calculated by the 'mass allocation' method (based on ISO 14044)</t>
    <phoneticPr fontId="3" type="noConversion"/>
  </si>
  <si>
    <t>PLA</t>
    <phoneticPr fontId="3" type="noConversion"/>
  </si>
  <si>
    <t>FW</t>
    <phoneticPr fontId="3" type="noConversion"/>
  </si>
  <si>
    <t>mass ration from total</t>
    <phoneticPr fontId="3" type="noConversion"/>
  </si>
  <si>
    <r>
      <t xml:space="preserve">● Functional unit: </t>
    </r>
    <r>
      <rPr>
        <b/>
        <sz val="14"/>
        <color rgb="FFFF0000"/>
        <rFont val="맑은 고딕"/>
        <family val="3"/>
        <charset val="129"/>
      </rPr>
      <t>ton PLA &amp; FW</t>
    </r>
    <phoneticPr fontId="3" type="noConversion"/>
  </si>
  <si>
    <r>
      <t xml:space="preserve">● </t>
    </r>
    <r>
      <rPr>
        <b/>
        <sz val="11"/>
        <color theme="1"/>
        <rFont val="Calibri"/>
        <family val="2"/>
      </rPr>
      <t xml:space="preserve">Functional unit: </t>
    </r>
    <r>
      <rPr>
        <b/>
        <sz val="16"/>
        <color rgb="FFFF0000"/>
        <rFont val="Calibri"/>
        <family val="2"/>
      </rPr>
      <t>day</t>
    </r>
    <phoneticPr fontId="3" type="noConversion"/>
  </si>
  <si>
    <t>MJ/ton</t>
  </si>
  <si>
    <t>MJ/ton</t>
    <phoneticPr fontId="3" type="noConversion"/>
  </si>
  <si>
    <t>GJ/ton</t>
  </si>
  <si>
    <t>Allocated by mass inflow (0.25:0.75)</t>
    <phoneticPr fontId="3" type="noConversion"/>
  </si>
  <si>
    <t>Fwratio</t>
    <phoneticPr fontId="3" type="noConversion"/>
  </si>
  <si>
    <t xml:space="preserve"> * No PLA can effect during AD process</t>
    <phoneticPr fontId="3" type="noConversion"/>
  </si>
  <si>
    <t>ratio</t>
    <phoneticPr fontId="3" type="noConversion"/>
  </si>
  <si>
    <t>USD/ton</t>
  </si>
  <si>
    <t>USD/ton</t>
    <phoneticPr fontId="3" type="noConversion"/>
  </si>
  <si>
    <t>Net energy</t>
  </si>
  <si>
    <t>Electricity</t>
  </si>
  <si>
    <t>Heat</t>
  </si>
  <si>
    <t>Total</t>
  </si>
  <si>
    <t>Net operation cost</t>
  </si>
  <si>
    <t>But no effect</t>
    <phoneticPr fontId="3" type="noConversion"/>
  </si>
  <si>
    <t>if Heat generated from AD of FW can used for PLA main recycle process (Dry, Extrusion)</t>
    <phoneticPr fontId="3" type="noConversion"/>
  </si>
  <si>
    <r>
      <t xml:space="preserve"> * FW AD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생산된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열을</t>
    </r>
    <r>
      <rPr>
        <sz val="11"/>
        <color theme="1"/>
        <rFont val="Calibri"/>
        <family val="2"/>
      </rPr>
      <t xml:space="preserve"> PLA main recycling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Calibri"/>
        <family val="2"/>
      </rPr>
      <t xml:space="preserve"> drying, Extrusion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못하게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되기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때문에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전부</t>
    </r>
    <r>
      <rPr>
        <sz val="11"/>
        <color theme="1"/>
        <rFont val="Calibri"/>
        <family val="2"/>
      </rPr>
      <t xml:space="preserve"> -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생김</t>
    </r>
    <phoneticPr fontId="3" type="noConversion"/>
  </si>
  <si>
    <t>M3/ton</t>
  </si>
  <si>
    <t>Kg/ton</t>
  </si>
  <si>
    <t>L/ton</t>
  </si>
  <si>
    <t>kg/ton</t>
  </si>
  <si>
    <t>Ton/ton</t>
  </si>
  <si>
    <t>FW Extrusion, Cooling is not considerd, because residual FW is removed before Extrusion and further process</t>
    <phoneticPr fontId="3" type="noConversion"/>
  </si>
  <si>
    <t>only Qin, heat loss, and mixing is considerd for PLA part (PLA can't generate gas in 30d HRT of AD)</t>
    <phoneticPr fontId="3" type="noConversion"/>
  </si>
  <si>
    <t>Not considerd</t>
    <phoneticPr fontId="3" type="noConversion"/>
  </si>
  <si>
    <t>Considering maximum sludge desposal moisture contents in the Korea</t>
    <phoneticPr fontId="3" type="noConversion"/>
  </si>
  <si>
    <r>
      <t>↑</t>
    </r>
    <r>
      <rPr>
        <sz val="11"/>
        <color rgb="FFFF0000"/>
        <rFont val="맑은 고딕"/>
        <family val="2"/>
        <charset val="129"/>
      </rPr>
      <t>This energy cost contain pump, chemical injection, convayer belt operation, washing water operation by multiflying correction factor 2</t>
    </r>
    <phoneticPr fontId="3" type="noConversion"/>
  </si>
  <si>
    <t xml:space="preserve"> -&gt; 1.6KW for 210kgDS/h treatment = 7.6KWh/ton DS // Calculation revised 2026.02.22</t>
    <phoneticPr fontId="3" type="noConversion"/>
  </si>
  <si>
    <t>http://ycturbotech.com/sludge-2/</t>
    <phoneticPr fontId="3" type="noConversion"/>
  </si>
  <si>
    <t>Min</t>
    <phoneticPr fontId="3" type="noConversion"/>
  </si>
  <si>
    <t>Max</t>
    <phoneticPr fontId="3" type="noConversion"/>
  </si>
  <si>
    <t>(unit: %)</t>
    <phoneticPr fontId="3" type="noConversion"/>
  </si>
  <si>
    <t>recycle PLA</t>
    <phoneticPr fontId="3" type="noConversion"/>
  </si>
  <si>
    <t>Electricity (SMP)</t>
    <phoneticPr fontId="3" type="noConversion"/>
  </si>
  <si>
    <t>[Product cost variation table] ; 10year price variation, average as 100%</t>
    <phoneticPr fontId="3" type="noConversion"/>
  </si>
  <si>
    <t>Value used</t>
    <phoneticPr fontId="3" type="noConversion"/>
  </si>
  <si>
    <t>LA yield</t>
    <phoneticPr fontId="3" type="noConversion"/>
  </si>
  <si>
    <t>LA yield (hydrolysis)</t>
    <phoneticPr fontId="3" type="noConversion"/>
  </si>
  <si>
    <t>5. CO2 production evaluation (mixed wasted)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</si>
</sst>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_-;\-* #,##0_-;_-* &quot;-&quot;_-;_-@_-"/>
    <numFmt numFmtId="165" formatCode="_-* #,##0.00_-;\-* #,##0.00_-;_-* &quot;-&quot;??_-;_-@_-"/>
    <numFmt numFmtId="166" formatCode="_-* #,##0.0_-;\-* #,##0.0_-;_-* &quot;-&quot;_-;_-@_-"/>
    <numFmt numFmtId="167" formatCode="_-* #,##0_-;\-* #,##0_-;_-* &quot;-&quot;??_-;_-@_-"/>
    <numFmt numFmtId="168" formatCode="_-* #,##0.00_-;\-* #,##0.00_-;_-* &quot;-&quot;_-;_-@_-"/>
    <numFmt numFmtId="169" formatCode="0.0"/>
    <numFmt numFmtId="170" formatCode="_-* #,##0.000_-;\-* #,##0.000_-;_-* &quot;-&quot;??_-;_-@_-"/>
    <numFmt numFmtId="171" formatCode="_-* #,##0.000_-;\-* #,##0.000_-;_-* &quot;-&quot;_-;_-@_-"/>
    <numFmt numFmtId="172" formatCode="_-* #,##0.0000_-;\-* #,##0.0000_-;_-* &quot;-&quot;_-;_-@_-"/>
    <numFmt numFmtId="173" formatCode="_-* #,##0.00000_-;\-* #,##0.00000_-;_-* &quot;-&quot;_-;_-@_-"/>
    <numFmt numFmtId="174" formatCode="0.000"/>
    <numFmt numFmtId="175" formatCode="0.E+00"/>
    <numFmt numFmtId="176" formatCode="_-* #,##0.0000000_-;\-* #,##0.0000000_-;_-* &quot;-&quot;_-;_-@_-"/>
  </numFmts>
  <fonts count="48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돋움"/>
      <family val="2"/>
      <charset val="129"/>
    </font>
    <font>
      <sz val="8"/>
      <name val="Calibri"/>
      <family val="2"/>
      <charset val="129"/>
    </font>
    <font>
      <sz val="11"/>
      <color theme="1"/>
      <name val="Calibri"/>
      <family val="3"/>
      <charset val="161"/>
    </font>
    <font>
      <b/>
      <sz val="11"/>
      <color theme="1"/>
      <name val="Calibri"/>
      <family val="2"/>
    </font>
    <font>
      <b/>
      <sz val="11"/>
      <color theme="1"/>
      <name val="Calibri"/>
      <family val="3"/>
    </font>
    <font>
      <sz val="11"/>
      <color theme="1"/>
      <name val="Segoe UI Symbol"/>
      <family val="1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1"/>
      <charset val="129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theme="1"/>
      <name val="Calibri"/>
      <family val="3"/>
      <charset val="129"/>
    </font>
    <font>
      <sz val="7.7"/>
      <color theme="1"/>
      <name val="Calibri"/>
      <family val="2"/>
    </font>
    <font>
      <sz val="11"/>
      <color theme="1"/>
      <name val="Calibri"/>
      <family val="2"/>
      <charset val="129"/>
    </font>
    <font>
      <b/>
      <sz val="10"/>
      <color rgb="FF333333"/>
      <name val="Calibri"/>
      <family val="2"/>
    </font>
    <font>
      <sz val="11"/>
      <color theme="1"/>
      <name val="Segoe UI Symbol"/>
      <family val="2"/>
    </font>
    <font>
      <b/>
      <sz val="11"/>
      <color theme="1"/>
      <name val="Segoe UI Symbol"/>
      <family val="1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</font>
    <font>
      <u/>
      <sz val="11"/>
      <color theme="10"/>
      <name val="맑은 고딕"/>
      <family val="2"/>
      <charset val="129"/>
    </font>
    <font>
      <b/>
      <sz val="7.7"/>
      <color rgb="FFFF0000"/>
      <name val="맑은 고딕"/>
      <family val="3"/>
      <charset val="129"/>
    </font>
    <font>
      <sz val="6.05"/>
      <color theme="1"/>
      <name val="Calibri"/>
      <family val="2"/>
    </font>
    <font>
      <b/>
      <sz val="6.05"/>
      <color theme="1"/>
      <name val="Calibri"/>
      <family val="2"/>
    </font>
    <font>
      <b/>
      <sz val="11"/>
      <name val="Calibri"/>
      <family val="2"/>
    </font>
    <font>
      <b/>
      <strike/>
      <sz val="1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b/>
      <strike/>
      <sz val="11"/>
      <color rgb="FFC00000"/>
      <name val="맑은 고딕"/>
      <family val="3"/>
      <charset val="129"/>
    </font>
    <font>
      <i/>
      <sz val="11"/>
      <color theme="1"/>
      <name val="Calibri"/>
      <family val="2"/>
    </font>
    <font>
      <sz val="9"/>
      <name val="맑은 고딕"/>
      <family val="2"/>
      <charset val="129"/>
    </font>
    <font>
      <sz val="9"/>
      <name val="Calibri"/>
      <family val="2"/>
    </font>
    <font>
      <vertAlign val="subscript"/>
      <sz val="11"/>
      <color theme="1"/>
      <name val="Calibri"/>
      <family val="3"/>
      <charset val="129"/>
      <scheme val="minor"/>
    </font>
    <font>
      <b/>
      <vertAlign val="subscript"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Calibri"/>
      <family val="3"/>
      <charset val="129"/>
    </font>
    <font>
      <b/>
      <sz val="14"/>
      <color rgb="FFFF0000"/>
      <name val="맑은 고딕"/>
      <family val="3"/>
      <charset val="129"/>
    </font>
    <font>
      <b/>
      <sz val="16"/>
      <color rgb="FFFF0000"/>
      <name val="Calibri"/>
      <family val="2"/>
    </font>
    <font>
      <sz val="12"/>
      <color theme="1"/>
      <name val="Calibri"/>
      <family val="2"/>
    </font>
    <font>
      <b/>
      <sz val="12"/>
      <color rgb="FF0000FF"/>
      <name val="맑은 고딕"/>
      <family val="3"/>
      <charset val="129"/>
    </font>
    <font>
      <sz val="11"/>
      <color rgb="FFFF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7D7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434">
    <xf numFmtId="0" fontId="0" fillId="0" borderId="0" xfId="0">
      <alignment vertical="center"/>
    </xf>
    <xf numFmtId="164" fontId="0" fillId="0" borderId="0" xfId="1" applyFont="1" applyBorder="1">
      <alignment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164" fontId="8" fillId="0" borderId="0" xfId="1" applyFont="1">
      <alignment vertical="center"/>
    </xf>
    <xf numFmtId="166" fontId="0" fillId="0" borderId="0" xfId="1" applyNumberFormat="1" applyFont="1" applyFill="1" applyBorder="1">
      <alignment vertical="center"/>
    </xf>
    <xf numFmtId="166" fontId="8" fillId="0" borderId="0" xfId="1" applyNumberFormat="1" applyFont="1" applyBorder="1">
      <alignment vertical="center"/>
    </xf>
    <xf numFmtId="0" fontId="2" fillId="0" borderId="0" xfId="0" applyFont="1">
      <alignment vertical="center"/>
    </xf>
    <xf numFmtId="164" fontId="13" fillId="3" borderId="0" xfId="1" applyFont="1" applyFill="1">
      <alignment vertical="center"/>
    </xf>
    <xf numFmtId="164" fontId="13" fillId="0" borderId="0" xfId="1" applyFont="1">
      <alignment vertical="center"/>
    </xf>
    <xf numFmtId="164" fontId="13" fillId="0" borderId="0" xfId="1" applyFont="1" applyFill="1">
      <alignment vertical="center"/>
    </xf>
    <xf numFmtId="164" fontId="13" fillId="5" borderId="0" xfId="1" applyFont="1" applyFill="1">
      <alignment vertical="center"/>
    </xf>
    <xf numFmtId="166" fontId="13" fillId="0" borderId="0" xfId="1" applyNumberFormat="1" applyFont="1">
      <alignment vertical="center"/>
    </xf>
    <xf numFmtId="164" fontId="13" fillId="2" borderId="0" xfId="1" applyFont="1" applyFill="1">
      <alignment vertical="center"/>
    </xf>
    <xf numFmtId="166" fontId="13" fillId="0" borderId="0" xfId="1" applyNumberFormat="1" applyFont="1" applyFill="1">
      <alignment vertical="center"/>
    </xf>
    <xf numFmtId="164" fontId="14" fillId="0" borderId="0" xfId="1" applyFont="1" applyFill="1">
      <alignment vertical="center"/>
    </xf>
    <xf numFmtId="0" fontId="15" fillId="0" borderId="0" xfId="1" applyNumberFormat="1" applyFont="1">
      <alignment vertical="center"/>
    </xf>
    <xf numFmtId="0" fontId="8" fillId="0" borderId="0" xfId="1" applyNumberFormat="1" applyFont="1">
      <alignment vertical="center"/>
    </xf>
    <xf numFmtId="0" fontId="8" fillId="0" borderId="10" xfId="1" applyNumberFormat="1" applyFont="1" applyBorder="1">
      <alignment vertical="center"/>
    </xf>
    <xf numFmtId="164" fontId="13" fillId="0" borderId="11" xfId="1" applyFont="1" applyBorder="1">
      <alignment vertical="center"/>
    </xf>
    <xf numFmtId="164" fontId="8" fillId="0" borderId="11" xfId="1" applyFont="1" applyBorder="1">
      <alignment vertical="center"/>
    </xf>
    <xf numFmtId="166" fontId="13" fillId="0" borderId="11" xfId="1" applyNumberFormat="1" applyFont="1" applyBorder="1">
      <alignment vertical="center"/>
    </xf>
    <xf numFmtId="164" fontId="13" fillId="0" borderId="12" xfId="1" applyFont="1" applyBorder="1">
      <alignment vertical="center"/>
    </xf>
    <xf numFmtId="164" fontId="8" fillId="0" borderId="10" xfId="1" applyFont="1" applyBorder="1">
      <alignment vertical="center"/>
    </xf>
    <xf numFmtId="166" fontId="8" fillId="0" borderId="11" xfId="1" applyNumberFormat="1" applyFont="1" applyBorder="1">
      <alignment vertical="center"/>
    </xf>
    <xf numFmtId="0" fontId="13" fillId="0" borderId="13" xfId="1" applyNumberFormat="1" applyFont="1" applyBorder="1">
      <alignment vertical="center"/>
    </xf>
    <xf numFmtId="164" fontId="13" fillId="0" borderId="0" xfId="1" applyFont="1" applyBorder="1">
      <alignment vertical="center"/>
    </xf>
    <xf numFmtId="164" fontId="8" fillId="0" borderId="0" xfId="1" applyFont="1" applyBorder="1">
      <alignment vertical="center"/>
    </xf>
    <xf numFmtId="166" fontId="13" fillId="0" borderId="0" xfId="1" applyNumberFormat="1" applyFont="1" applyBorder="1">
      <alignment vertical="center"/>
    </xf>
    <xf numFmtId="164" fontId="13" fillId="0" borderId="14" xfId="1" applyFont="1" applyBorder="1">
      <alignment vertical="center"/>
    </xf>
    <xf numFmtId="164" fontId="8" fillId="0" borderId="13" xfId="1" applyFont="1" applyBorder="1">
      <alignment vertical="center"/>
    </xf>
    <xf numFmtId="0" fontId="13" fillId="0" borderId="13" xfId="1" applyNumberFormat="1" applyFont="1" applyFill="1" applyBorder="1">
      <alignment vertical="center"/>
    </xf>
    <xf numFmtId="166" fontId="13" fillId="0" borderId="0" xfId="1" applyNumberFormat="1" applyFont="1" applyFill="1" applyBorder="1">
      <alignment vertical="center"/>
    </xf>
    <xf numFmtId="164" fontId="13" fillId="0" borderId="0" xfId="1" applyFont="1" applyFill="1" applyBorder="1">
      <alignment vertical="center"/>
    </xf>
    <xf numFmtId="164" fontId="13" fillId="0" borderId="13" xfId="1" applyFont="1" applyBorder="1">
      <alignment vertical="center"/>
    </xf>
    <xf numFmtId="0" fontId="8" fillId="0" borderId="0" xfId="1" applyNumberFormat="1" applyFont="1" applyBorder="1">
      <alignment vertical="center"/>
    </xf>
    <xf numFmtId="0" fontId="13" fillId="0" borderId="0" xfId="1" applyNumberFormat="1" applyFont="1" applyBorder="1">
      <alignment vertical="center"/>
    </xf>
    <xf numFmtId="166" fontId="13" fillId="0" borderId="0" xfId="1" applyNumberFormat="1" applyFont="1" applyBorder="1" applyAlignment="1">
      <alignment horizontal="right" vertical="center"/>
    </xf>
    <xf numFmtId="0" fontId="13" fillId="3" borderId="0" xfId="1" applyNumberFormat="1" applyFont="1" applyFill="1" applyBorder="1">
      <alignment vertical="center"/>
    </xf>
    <xf numFmtId="166" fontId="13" fillId="3" borderId="0" xfId="1" applyNumberFormat="1" applyFont="1" applyFill="1" applyBorder="1">
      <alignment vertical="center"/>
    </xf>
    <xf numFmtId="164" fontId="13" fillId="3" borderId="0" xfId="1" applyFont="1" applyFill="1" applyBorder="1">
      <alignment vertical="center"/>
    </xf>
    <xf numFmtId="166" fontId="8" fillId="3" borderId="0" xfId="1" applyNumberFormat="1" applyFont="1" applyFill="1" applyBorder="1">
      <alignment vertical="center"/>
    </xf>
    <xf numFmtId="0" fontId="8" fillId="3" borderId="0" xfId="1" applyNumberFormat="1" applyFont="1" applyFill="1" applyBorder="1">
      <alignment vertical="center"/>
    </xf>
    <xf numFmtId="0" fontId="13" fillId="2" borderId="0" xfId="1" applyNumberFormat="1" applyFont="1" applyFill="1" applyBorder="1">
      <alignment vertical="center"/>
    </xf>
    <xf numFmtId="166" fontId="13" fillId="2" borderId="0" xfId="1" applyNumberFormat="1" applyFont="1" applyFill="1" applyBorder="1">
      <alignment vertical="center"/>
    </xf>
    <xf numFmtId="164" fontId="13" fillId="2" borderId="0" xfId="1" applyFont="1" applyFill="1" applyBorder="1">
      <alignment vertical="center"/>
    </xf>
    <xf numFmtId="164" fontId="13" fillId="2" borderId="14" xfId="1" applyFont="1" applyFill="1" applyBorder="1">
      <alignment vertical="center"/>
    </xf>
    <xf numFmtId="0" fontId="13" fillId="2" borderId="0" xfId="0" applyFont="1" applyFill="1">
      <alignment vertical="center"/>
    </xf>
    <xf numFmtId="0" fontId="13" fillId="0" borderId="0" xfId="1" applyNumberFormat="1" applyFont="1">
      <alignment vertical="center"/>
    </xf>
    <xf numFmtId="0" fontId="13" fillId="0" borderId="0" xfId="1" applyNumberFormat="1" applyFont="1" applyFill="1" applyBorder="1">
      <alignment vertical="center"/>
    </xf>
    <xf numFmtId="0" fontId="8" fillId="5" borderId="19" xfId="1" applyNumberFormat="1" applyFont="1" applyFill="1" applyBorder="1">
      <alignment vertical="center"/>
    </xf>
    <xf numFmtId="166" fontId="8" fillId="5" borderId="18" xfId="1" applyNumberFormat="1" applyFont="1" applyFill="1" applyBorder="1">
      <alignment vertical="center"/>
    </xf>
    <xf numFmtId="164" fontId="8" fillId="5" borderId="20" xfId="1" applyFont="1" applyFill="1" applyBorder="1">
      <alignment vertical="center"/>
    </xf>
    <xf numFmtId="0" fontId="8" fillId="7" borderId="19" xfId="1" applyNumberFormat="1" applyFont="1" applyFill="1" applyBorder="1">
      <alignment vertical="center"/>
    </xf>
    <xf numFmtId="166" fontId="8" fillId="7" borderId="18" xfId="1" applyNumberFormat="1" applyFont="1" applyFill="1" applyBorder="1">
      <alignment vertical="center"/>
    </xf>
    <xf numFmtId="0" fontId="8" fillId="7" borderId="20" xfId="0" applyFont="1" applyFill="1" applyBorder="1">
      <alignment vertical="center"/>
    </xf>
    <xf numFmtId="0" fontId="8" fillId="5" borderId="20" xfId="0" applyFont="1" applyFill="1" applyBorder="1">
      <alignment vertical="center"/>
    </xf>
    <xf numFmtId="0" fontId="8" fillId="5" borderId="19" xfId="0" applyFont="1" applyFill="1" applyBorder="1">
      <alignment vertical="center"/>
    </xf>
    <xf numFmtId="0" fontId="8" fillId="5" borderId="20" xfId="1" applyNumberFormat="1" applyFont="1" applyFill="1" applyBorder="1">
      <alignment vertical="center"/>
    </xf>
    <xf numFmtId="0" fontId="13" fillId="2" borderId="13" xfId="0" applyFont="1" applyFill="1" applyBorder="1">
      <alignment vertical="center"/>
    </xf>
    <xf numFmtId="0" fontId="13" fillId="2" borderId="13" xfId="1" applyNumberFormat="1" applyFont="1" applyFill="1" applyBorder="1">
      <alignment vertical="center"/>
    </xf>
    <xf numFmtId="164" fontId="13" fillId="0" borderId="15" xfId="1" applyFont="1" applyBorder="1">
      <alignment vertical="center"/>
    </xf>
    <xf numFmtId="164" fontId="13" fillId="0" borderId="16" xfId="1" applyFont="1" applyBorder="1">
      <alignment vertical="center"/>
    </xf>
    <xf numFmtId="166" fontId="13" fillId="0" borderId="16" xfId="1" applyNumberFormat="1" applyFont="1" applyBorder="1">
      <alignment vertical="center"/>
    </xf>
    <xf numFmtId="164" fontId="13" fillId="0" borderId="17" xfId="1" applyFont="1" applyBorder="1">
      <alignment vertical="center"/>
    </xf>
    <xf numFmtId="166" fontId="8" fillId="0" borderId="0" xfId="1" applyNumberFormat="1" applyFont="1" applyFill="1" applyBorder="1">
      <alignment vertical="center"/>
    </xf>
    <xf numFmtId="0" fontId="8" fillId="5" borderId="15" xfId="1" applyNumberFormat="1" applyFont="1" applyFill="1" applyBorder="1">
      <alignment vertical="center"/>
    </xf>
    <xf numFmtId="166" fontId="8" fillId="5" borderId="16" xfId="1" applyNumberFormat="1" applyFont="1" applyFill="1" applyBorder="1">
      <alignment vertical="center"/>
    </xf>
    <xf numFmtId="164" fontId="13" fillId="0" borderId="10" xfId="1" applyFont="1" applyBorder="1">
      <alignment vertical="center"/>
    </xf>
    <xf numFmtId="164" fontId="13" fillId="0" borderId="2" xfId="1" applyFont="1" applyBorder="1">
      <alignment vertical="center"/>
    </xf>
    <xf numFmtId="166" fontId="13" fillId="0" borderId="3" xfId="1" applyNumberFormat="1" applyFont="1" applyBorder="1">
      <alignment vertical="center"/>
    </xf>
    <xf numFmtId="164" fontId="13" fillId="0" borderId="4" xfId="1" applyFont="1" applyBorder="1">
      <alignment vertical="center"/>
    </xf>
    <xf numFmtId="0" fontId="17" fillId="0" borderId="0" xfId="1" applyNumberFormat="1" applyFont="1" applyBorder="1">
      <alignment vertical="center"/>
    </xf>
    <xf numFmtId="164" fontId="17" fillId="0" borderId="0" xfId="1" applyFont="1" applyBorder="1">
      <alignment vertical="center"/>
    </xf>
    <xf numFmtId="164" fontId="13" fillId="0" borderId="5" xfId="1" applyFont="1" applyBorder="1">
      <alignment vertical="center"/>
    </xf>
    <xf numFmtId="164" fontId="13" fillId="0" borderId="6" xfId="1" applyFont="1" applyBorder="1">
      <alignment vertical="center"/>
    </xf>
    <xf numFmtId="164" fontId="13" fillId="0" borderId="7" xfId="1" applyFont="1" applyBorder="1">
      <alignment vertical="center"/>
    </xf>
    <xf numFmtId="166" fontId="13" fillId="0" borderId="8" xfId="1" applyNumberFormat="1" applyFont="1" applyBorder="1">
      <alignment vertical="center"/>
    </xf>
    <xf numFmtId="164" fontId="13" fillId="0" borderId="9" xfId="1" applyFont="1" applyBorder="1">
      <alignment vertical="center"/>
    </xf>
    <xf numFmtId="164" fontId="13" fillId="0" borderId="3" xfId="1" applyFont="1" applyBorder="1">
      <alignment vertical="center"/>
    </xf>
    <xf numFmtId="0" fontId="13" fillId="0" borderId="16" xfId="1" applyNumberFormat="1" applyFont="1" applyBorder="1">
      <alignment vertical="center"/>
    </xf>
    <xf numFmtId="164" fontId="13" fillId="0" borderId="8" xfId="1" applyFont="1" applyBorder="1">
      <alignment vertical="center"/>
    </xf>
    <xf numFmtId="0" fontId="13" fillId="0" borderId="13" xfId="0" applyFont="1" applyBorder="1">
      <alignment vertical="center"/>
    </xf>
    <xf numFmtId="166" fontId="8" fillId="6" borderId="0" xfId="1" applyNumberFormat="1" applyFont="1" applyFill="1" applyBorder="1">
      <alignment vertical="center"/>
    </xf>
    <xf numFmtId="165" fontId="13" fillId="0" borderId="0" xfId="0" applyNumberFormat="1" applyFont="1">
      <alignment vertical="center"/>
    </xf>
    <xf numFmtId="167" fontId="13" fillId="0" borderId="0" xfId="0" applyNumberFormat="1" applyFont="1">
      <alignment vertical="center"/>
    </xf>
    <xf numFmtId="167" fontId="13" fillId="0" borderId="0" xfId="1" applyNumberFormat="1" applyFont="1" applyBorder="1">
      <alignment vertical="center"/>
    </xf>
    <xf numFmtId="166" fontId="8" fillId="4" borderId="0" xfId="1" applyNumberFormat="1" applyFont="1" applyFill="1" applyBorder="1">
      <alignment vertical="center"/>
    </xf>
    <xf numFmtId="14" fontId="8" fillId="0" borderId="0" xfId="1" applyNumberFormat="1" applyFont="1" applyBorder="1">
      <alignment vertical="center"/>
    </xf>
    <xf numFmtId="164" fontId="13" fillId="5" borderId="19" xfId="1" applyFont="1" applyFill="1" applyBorder="1">
      <alignment vertical="center"/>
    </xf>
    <xf numFmtId="166" fontId="13" fillId="5" borderId="18" xfId="1" applyNumberFormat="1" applyFont="1" applyFill="1" applyBorder="1">
      <alignment vertical="center"/>
    </xf>
    <xf numFmtId="0" fontId="13" fillId="4" borderId="0" xfId="1" applyNumberFormat="1" applyFont="1" applyFill="1" applyBorder="1">
      <alignment vertical="center"/>
    </xf>
    <xf numFmtId="0" fontId="8" fillId="6" borderId="0" xfId="1" applyNumberFormat="1" applyFont="1" applyFill="1" applyBorder="1">
      <alignment vertical="center"/>
    </xf>
    <xf numFmtId="0" fontId="8" fillId="4" borderId="0" xfId="1" applyNumberFormat="1" applyFont="1" applyFill="1" applyBorder="1">
      <alignment vertical="center"/>
    </xf>
    <xf numFmtId="0" fontId="8" fillId="7" borderId="20" xfId="1" applyNumberFormat="1" applyFont="1" applyFill="1" applyBorder="1">
      <alignment vertical="center"/>
    </xf>
    <xf numFmtId="0" fontId="13" fillId="3" borderId="0" xfId="0" applyFont="1" applyFill="1">
      <alignment vertical="center"/>
    </xf>
    <xf numFmtId="168" fontId="13" fillId="0" borderId="0" xfId="1" applyNumberFormat="1" applyFont="1" applyBorder="1">
      <alignment vertical="center"/>
    </xf>
    <xf numFmtId="171" fontId="13" fillId="0" borderId="0" xfId="1" applyNumberFormat="1" applyFont="1" applyBorder="1">
      <alignment vertical="center"/>
    </xf>
    <xf numFmtId="0" fontId="13" fillId="8" borderId="10" xfId="1" applyNumberFormat="1" applyFont="1" applyFill="1" applyBorder="1">
      <alignment vertical="center"/>
    </xf>
    <xf numFmtId="164" fontId="13" fillId="8" borderId="11" xfId="1" applyFont="1" applyFill="1" applyBorder="1">
      <alignment vertical="center"/>
    </xf>
    <xf numFmtId="166" fontId="13" fillId="8" borderId="11" xfId="1" applyNumberFormat="1" applyFont="1" applyFill="1" applyBorder="1">
      <alignment vertical="center"/>
    </xf>
    <xf numFmtId="0" fontId="13" fillId="8" borderId="12" xfId="1" applyNumberFormat="1" applyFont="1" applyFill="1" applyBorder="1">
      <alignment vertical="center"/>
    </xf>
    <xf numFmtId="0" fontId="13" fillId="8" borderId="13" xfId="1" applyNumberFormat="1" applyFont="1" applyFill="1" applyBorder="1">
      <alignment vertical="center"/>
    </xf>
    <xf numFmtId="164" fontId="13" fillId="8" borderId="0" xfId="1" applyFont="1" applyFill="1" applyBorder="1">
      <alignment vertical="center"/>
    </xf>
    <xf numFmtId="166" fontId="8" fillId="8" borderId="0" xfId="1" applyNumberFormat="1" applyFont="1" applyFill="1" applyBorder="1">
      <alignment vertical="center"/>
    </xf>
    <xf numFmtId="0" fontId="8" fillId="8" borderId="14" xfId="1" applyNumberFormat="1" applyFont="1" applyFill="1" applyBorder="1">
      <alignment vertical="center"/>
    </xf>
    <xf numFmtId="0" fontId="13" fillId="8" borderId="15" xfId="1" applyNumberFormat="1" applyFont="1" applyFill="1" applyBorder="1">
      <alignment vertical="center"/>
    </xf>
    <xf numFmtId="164" fontId="13" fillId="8" borderId="16" xfId="1" applyFont="1" applyFill="1" applyBorder="1">
      <alignment vertical="center"/>
    </xf>
    <xf numFmtId="166" fontId="8" fillId="8" borderId="16" xfId="1" applyNumberFormat="1" applyFont="1" applyFill="1" applyBorder="1">
      <alignment vertical="center"/>
    </xf>
    <xf numFmtId="0" fontId="8" fillId="8" borderId="17" xfId="1" applyNumberFormat="1" applyFont="1" applyFill="1" applyBorder="1">
      <alignment vertical="center"/>
    </xf>
    <xf numFmtId="172" fontId="13" fillId="0" borderId="0" xfId="1" applyNumberFormat="1" applyFont="1" applyBorder="1">
      <alignment vertical="center"/>
    </xf>
    <xf numFmtId="173" fontId="13" fillId="0" borderId="0" xfId="1" applyNumberFormat="1" applyFont="1" applyBorder="1">
      <alignment vertical="center"/>
    </xf>
    <xf numFmtId="165" fontId="13" fillId="0" borderId="0" xfId="1" applyNumberFormat="1" applyFont="1" applyBorder="1">
      <alignment vertical="center"/>
    </xf>
    <xf numFmtId="164" fontId="18" fillId="0" borderId="0" xfId="1" applyFont="1" applyBorder="1">
      <alignment vertical="center"/>
    </xf>
    <xf numFmtId="164" fontId="8" fillId="0" borderId="3" xfId="1" applyFont="1" applyBorder="1">
      <alignment vertical="center"/>
    </xf>
    <xf numFmtId="164" fontId="8" fillId="0" borderId="2" xfId="1" applyFont="1" applyBorder="1">
      <alignment vertical="center"/>
    </xf>
    <xf numFmtId="166" fontId="8" fillId="0" borderId="4" xfId="1" applyNumberFormat="1" applyFont="1" applyBorder="1">
      <alignment vertical="center"/>
    </xf>
    <xf numFmtId="164" fontId="8" fillId="0" borderId="24" xfId="1" applyFont="1" applyBorder="1">
      <alignment vertical="center"/>
    </xf>
    <xf numFmtId="164" fontId="8" fillId="0" borderId="8" xfId="1" applyFont="1" applyBorder="1">
      <alignment vertical="center"/>
    </xf>
    <xf numFmtId="164" fontId="14" fillId="7" borderId="0" xfId="1" applyFont="1" applyFill="1">
      <alignment vertical="center"/>
    </xf>
    <xf numFmtId="164" fontId="8" fillId="0" borderId="0" xfId="1" applyFont="1" applyFill="1" applyBorder="1">
      <alignment vertical="center"/>
    </xf>
    <xf numFmtId="166" fontId="13" fillId="0" borderId="0" xfId="1" applyNumberFormat="1" applyFont="1" applyFill="1" applyBorder="1" applyAlignment="1">
      <alignment horizontal="right" vertical="center"/>
    </xf>
    <xf numFmtId="0" fontId="8" fillId="0" borderId="0" xfId="1" applyNumberFormat="1" applyFont="1" applyFill="1" applyBorder="1">
      <alignment vertical="center"/>
    </xf>
    <xf numFmtId="0" fontId="16" fillId="0" borderId="0" xfId="1" applyNumberFormat="1" applyFont="1" applyFill="1" applyBorder="1">
      <alignment vertical="center"/>
    </xf>
    <xf numFmtId="166" fontId="16" fillId="0" borderId="0" xfId="1" applyNumberFormat="1" applyFont="1" applyFill="1" applyBorder="1">
      <alignment vertical="center"/>
    </xf>
    <xf numFmtId="0" fontId="8" fillId="0" borderId="19" xfId="1" applyNumberFormat="1" applyFont="1" applyFill="1" applyBorder="1">
      <alignment vertical="center"/>
    </xf>
    <xf numFmtId="166" fontId="8" fillId="0" borderId="16" xfId="1" applyNumberFormat="1" applyFont="1" applyFill="1" applyBorder="1">
      <alignment vertical="center"/>
    </xf>
    <xf numFmtId="0" fontId="13" fillId="0" borderId="0" xfId="1" applyNumberFormat="1" applyFont="1" applyFill="1" applyBorder="1" applyAlignment="1">
      <alignment horizontal="right" vertical="center"/>
    </xf>
    <xf numFmtId="0" fontId="13" fillId="0" borderId="0" xfId="1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1" applyNumberFormat="1" applyFont="1" applyBorder="1" applyAlignment="1">
      <alignment horizontal="left" vertical="center"/>
    </xf>
    <xf numFmtId="166" fontId="13" fillId="3" borderId="0" xfId="1" applyNumberFormat="1" applyFont="1" applyFill="1">
      <alignment vertical="center"/>
    </xf>
    <xf numFmtId="0" fontId="8" fillId="3" borderId="0" xfId="0" applyFont="1" applyFill="1">
      <alignment vertical="center"/>
    </xf>
    <xf numFmtId="0" fontId="13" fillId="3" borderId="0" xfId="0" applyFont="1" applyFill="1" applyAlignment="1">
      <alignment horizontal="left" vertical="center"/>
    </xf>
    <xf numFmtId="165" fontId="13" fillId="0" borderId="0" xfId="1" applyNumberFormat="1" applyFont="1" applyFill="1" applyBorder="1">
      <alignment vertical="center"/>
    </xf>
    <xf numFmtId="0" fontId="21" fillId="0" borderId="0" xfId="0" applyFont="1">
      <alignment vertical="center"/>
    </xf>
    <xf numFmtId="164" fontId="8" fillId="3" borderId="0" xfId="1" applyFont="1" applyFill="1" applyBorder="1">
      <alignment vertical="center"/>
    </xf>
    <xf numFmtId="166" fontId="8" fillId="3" borderId="0" xfId="1" applyNumberFormat="1" applyFont="1" applyFill="1" applyBorder="1" applyAlignment="1">
      <alignment horizontal="right" vertical="center"/>
    </xf>
    <xf numFmtId="0" fontId="13" fillId="3" borderId="0" xfId="1" applyNumberFormat="1" applyFont="1" applyFill="1" applyBorder="1" applyAlignment="1">
      <alignment horizontal="left" vertical="center"/>
    </xf>
    <xf numFmtId="14" fontId="13" fillId="0" borderId="0" xfId="1" applyNumberFormat="1" applyFont="1" applyBorder="1">
      <alignment vertical="center"/>
    </xf>
    <xf numFmtId="0" fontId="8" fillId="0" borderId="3" xfId="0" applyFont="1" applyBorder="1">
      <alignment vertical="center"/>
    </xf>
    <xf numFmtId="0" fontId="8" fillId="0" borderId="23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13" fillId="0" borderId="14" xfId="0" applyFont="1" applyBorder="1">
      <alignment vertical="center"/>
    </xf>
    <xf numFmtId="166" fontId="13" fillId="0" borderId="0" xfId="0" applyNumberFormat="1" applyFont="1">
      <alignment vertical="center"/>
    </xf>
    <xf numFmtId="0" fontId="13" fillId="0" borderId="16" xfId="1" applyNumberFormat="1" applyFont="1" applyFill="1" applyBorder="1">
      <alignment vertical="center"/>
    </xf>
    <xf numFmtId="166" fontId="13" fillId="0" borderId="16" xfId="1" applyNumberFormat="1" applyFont="1" applyFill="1" applyBorder="1">
      <alignment vertical="center"/>
    </xf>
    <xf numFmtId="164" fontId="13" fillId="0" borderId="16" xfId="1" applyFont="1" applyFill="1" applyBorder="1">
      <alignment vertical="center"/>
    </xf>
    <xf numFmtId="0" fontId="8" fillId="0" borderId="16" xfId="1" applyNumberFormat="1" applyFont="1" applyFill="1" applyBorder="1">
      <alignment vertical="center"/>
    </xf>
    <xf numFmtId="0" fontId="13" fillId="0" borderId="11" xfId="1" applyNumberFormat="1" applyFont="1" applyFill="1" applyBorder="1">
      <alignment vertical="center"/>
    </xf>
    <xf numFmtId="166" fontId="13" fillId="0" borderId="11" xfId="1" applyNumberFormat="1" applyFont="1" applyFill="1" applyBorder="1">
      <alignment vertical="center"/>
    </xf>
    <xf numFmtId="164" fontId="13" fillId="0" borderId="11" xfId="1" applyFont="1" applyFill="1" applyBorder="1">
      <alignment vertical="center"/>
    </xf>
    <xf numFmtId="0" fontId="8" fillId="0" borderId="16" xfId="1" applyNumberFormat="1" applyFont="1" applyBorder="1">
      <alignment vertical="center"/>
    </xf>
    <xf numFmtId="164" fontId="10" fillId="0" borderId="0" xfId="1" applyFont="1" applyFill="1" applyBorder="1">
      <alignment vertical="center"/>
    </xf>
    <xf numFmtId="166" fontId="13" fillId="2" borderId="0" xfId="0" applyNumberFormat="1" applyFont="1" applyFill="1">
      <alignment vertical="center"/>
    </xf>
    <xf numFmtId="170" fontId="13" fillId="0" borderId="0" xfId="1" applyNumberFormat="1" applyFont="1" applyFill="1" applyBorder="1">
      <alignment vertical="center"/>
    </xf>
    <xf numFmtId="0" fontId="13" fillId="3" borderId="16" xfId="1" applyNumberFormat="1" applyFont="1" applyFill="1" applyBorder="1">
      <alignment vertical="center"/>
    </xf>
    <xf numFmtId="164" fontId="13" fillId="3" borderId="16" xfId="1" applyFont="1" applyFill="1" applyBorder="1">
      <alignment vertical="center"/>
    </xf>
    <xf numFmtId="0" fontId="8" fillId="0" borderId="2" xfId="1" applyNumberFormat="1" applyFont="1" applyBorder="1">
      <alignment vertical="center"/>
    </xf>
    <xf numFmtId="0" fontId="13" fillId="0" borderId="5" xfId="1" applyNumberFormat="1" applyFont="1" applyBorder="1">
      <alignment vertical="center"/>
    </xf>
    <xf numFmtId="0" fontId="13" fillId="0" borderId="7" xfId="1" applyNumberFormat="1" applyFont="1" applyBorder="1">
      <alignment vertical="center"/>
    </xf>
    <xf numFmtId="165" fontId="13" fillId="3" borderId="0" xfId="1" applyNumberFormat="1" applyFont="1" applyFill="1" applyBorder="1">
      <alignment vertical="center"/>
    </xf>
    <xf numFmtId="165" fontId="8" fillId="0" borderId="16" xfId="1" applyNumberFormat="1" applyFont="1" applyBorder="1">
      <alignment vertical="center"/>
    </xf>
    <xf numFmtId="164" fontId="13" fillId="0" borderId="12" xfId="1" applyFont="1" applyFill="1" applyBorder="1">
      <alignment vertical="center"/>
    </xf>
    <xf numFmtId="164" fontId="8" fillId="0" borderId="13" xfId="1" applyFont="1" applyFill="1" applyBorder="1">
      <alignment vertical="center"/>
    </xf>
    <xf numFmtId="164" fontId="13" fillId="0" borderId="14" xfId="1" applyFont="1" applyFill="1" applyBorder="1">
      <alignment vertical="center"/>
    </xf>
    <xf numFmtId="164" fontId="13" fillId="0" borderId="13" xfId="1" applyFont="1" applyFill="1" applyBorder="1">
      <alignment vertical="center"/>
    </xf>
    <xf numFmtId="173" fontId="13" fillId="0" borderId="0" xfId="1" applyNumberFormat="1" applyFont="1" applyFill="1" applyBorder="1">
      <alignment vertical="center"/>
    </xf>
    <xf numFmtId="164" fontId="13" fillId="0" borderId="17" xfId="1" applyFont="1" applyFill="1" applyBorder="1">
      <alignment vertical="center"/>
    </xf>
    <xf numFmtId="164" fontId="8" fillId="0" borderId="20" xfId="1" applyFont="1" applyFill="1" applyBorder="1">
      <alignment vertical="center"/>
    </xf>
    <xf numFmtId="0" fontId="13" fillId="0" borderId="15" xfId="1" applyNumberFormat="1" applyFont="1" applyFill="1" applyBorder="1">
      <alignment vertical="center"/>
    </xf>
    <xf numFmtId="171" fontId="13" fillId="0" borderId="0" xfId="1" applyNumberFormat="1" applyFont="1" applyFill="1" applyBorder="1">
      <alignment vertical="center"/>
    </xf>
    <xf numFmtId="0" fontId="24" fillId="0" borderId="27" xfId="0" applyFont="1" applyBorder="1" applyAlignment="1">
      <alignment horizontal="center" vertical="center"/>
    </xf>
    <xf numFmtId="164" fontId="25" fillId="0" borderId="28" xfId="0" applyNumberFormat="1" applyFont="1" applyBorder="1">
      <alignment vertical="center"/>
    </xf>
    <xf numFmtId="0" fontId="26" fillId="0" borderId="28" xfId="0" applyFont="1" applyBorder="1">
      <alignment vertical="center"/>
    </xf>
    <xf numFmtId="0" fontId="24" fillId="0" borderId="30" xfId="0" applyFont="1" applyBorder="1">
      <alignment vertical="center"/>
    </xf>
    <xf numFmtId="164" fontId="24" fillId="0" borderId="1" xfId="1" applyFont="1" applyBorder="1">
      <alignment vertical="center"/>
    </xf>
    <xf numFmtId="0" fontId="24" fillId="0" borderId="1" xfId="0" applyFont="1" applyBorder="1">
      <alignment vertical="center"/>
    </xf>
    <xf numFmtId="0" fontId="26" fillId="0" borderId="1" xfId="0" applyFont="1" applyBorder="1">
      <alignment vertical="center"/>
    </xf>
    <xf numFmtId="165" fontId="26" fillId="0" borderId="1" xfId="0" applyNumberFormat="1" applyFont="1" applyBorder="1">
      <alignment vertical="center"/>
    </xf>
    <xf numFmtId="2" fontId="26" fillId="0" borderId="1" xfId="0" applyNumberFormat="1" applyFont="1" applyBorder="1">
      <alignment vertical="center"/>
    </xf>
    <xf numFmtId="167" fontId="24" fillId="0" borderId="1" xfId="1" applyNumberFormat="1" applyFont="1" applyBorder="1">
      <alignment vertical="center"/>
    </xf>
    <xf numFmtId="174" fontId="26" fillId="0" borderId="1" xfId="0" applyNumberFormat="1" applyFont="1" applyBorder="1">
      <alignment vertical="center"/>
    </xf>
    <xf numFmtId="169" fontId="26" fillId="0" borderId="1" xfId="0" applyNumberFormat="1" applyFont="1" applyBorder="1">
      <alignment vertical="center"/>
    </xf>
    <xf numFmtId="0" fontId="26" fillId="0" borderId="0" xfId="0" applyFont="1">
      <alignment vertical="center"/>
    </xf>
    <xf numFmtId="167" fontId="25" fillId="0" borderId="28" xfId="0" applyNumberFormat="1" applyFont="1" applyBorder="1">
      <alignment vertical="center"/>
    </xf>
    <xf numFmtId="0" fontId="25" fillId="0" borderId="28" xfId="0" applyFont="1" applyBorder="1">
      <alignment vertical="center"/>
    </xf>
    <xf numFmtId="0" fontId="26" fillId="0" borderId="1" xfId="0" applyFont="1" applyBorder="1" applyAlignment="1">
      <alignment horizontal="left" vertical="center"/>
    </xf>
    <xf numFmtId="0" fontId="26" fillId="2" borderId="1" xfId="0" applyFont="1" applyFill="1" applyBorder="1">
      <alignment vertical="center"/>
    </xf>
    <xf numFmtId="167" fontId="24" fillId="0" borderId="1" xfId="0" applyNumberFormat="1" applyFont="1" applyBorder="1">
      <alignment vertical="center"/>
    </xf>
    <xf numFmtId="165" fontId="24" fillId="0" borderId="1" xfId="0" applyNumberFormat="1" applyFont="1" applyBorder="1">
      <alignment vertical="center"/>
    </xf>
    <xf numFmtId="174" fontId="26" fillId="0" borderId="0" xfId="0" applyNumberFormat="1" applyFont="1">
      <alignment vertical="center"/>
    </xf>
    <xf numFmtId="169" fontId="13" fillId="0" borderId="0" xfId="1" applyNumberFormat="1" applyFont="1" applyFill="1" applyBorder="1">
      <alignment vertical="center"/>
    </xf>
    <xf numFmtId="164" fontId="26" fillId="0" borderId="1" xfId="0" applyNumberFormat="1" applyFont="1" applyBorder="1">
      <alignment vertical="center"/>
    </xf>
    <xf numFmtId="175" fontId="13" fillId="0" borderId="0" xfId="1" applyNumberFormat="1" applyFont="1" applyFill="1" applyBorder="1">
      <alignment vertical="center"/>
    </xf>
    <xf numFmtId="164" fontId="7" fillId="0" borderId="0" xfId="1" applyFont="1" applyFill="1" applyBorder="1">
      <alignment vertical="center"/>
    </xf>
    <xf numFmtId="174" fontId="26" fillId="3" borderId="0" xfId="0" applyNumberFormat="1" applyFont="1" applyFill="1">
      <alignment vertical="center"/>
    </xf>
    <xf numFmtId="0" fontId="26" fillId="3" borderId="0" xfId="0" applyFont="1" applyFill="1">
      <alignment vertical="center"/>
    </xf>
    <xf numFmtId="165" fontId="26" fillId="3" borderId="0" xfId="0" applyNumberFormat="1" applyFont="1" applyFill="1">
      <alignment vertical="center"/>
    </xf>
    <xf numFmtId="171" fontId="8" fillId="0" borderId="0" xfId="1" applyNumberFormat="1" applyFont="1" applyFill="1" applyBorder="1">
      <alignment vertical="center"/>
    </xf>
    <xf numFmtId="14" fontId="8" fillId="0" borderId="0" xfId="1" applyNumberFormat="1" applyFont="1" applyFill="1" applyBorder="1">
      <alignment vertical="center"/>
    </xf>
    <xf numFmtId="0" fontId="32" fillId="0" borderId="13" xfId="1" applyNumberFormat="1" applyFont="1" applyBorder="1">
      <alignment vertical="center"/>
    </xf>
    <xf numFmtId="164" fontId="27" fillId="0" borderId="0" xfId="1" applyFont="1" applyBorder="1">
      <alignment vertical="center"/>
    </xf>
    <xf numFmtId="0" fontId="9" fillId="0" borderId="13" xfId="1" applyNumberFormat="1" applyFont="1" applyFill="1" applyBorder="1">
      <alignment vertical="center"/>
    </xf>
    <xf numFmtId="2" fontId="26" fillId="0" borderId="0" xfId="0" applyNumberFormat="1" applyFont="1">
      <alignment vertical="center"/>
    </xf>
    <xf numFmtId="0" fontId="10" fillId="0" borderId="0" xfId="0" applyFont="1">
      <alignment vertical="center"/>
    </xf>
    <xf numFmtId="164" fontId="26" fillId="0" borderId="0" xfId="0" applyNumberFormat="1" applyFont="1">
      <alignment vertical="center"/>
    </xf>
    <xf numFmtId="176" fontId="13" fillId="0" borderId="0" xfId="1" applyNumberFormat="1" applyFont="1" applyBorder="1">
      <alignment vertical="center"/>
    </xf>
    <xf numFmtId="0" fontId="24" fillId="0" borderId="32" xfId="0" applyFont="1" applyBorder="1">
      <alignment vertical="center"/>
    </xf>
    <xf numFmtId="0" fontId="26" fillId="0" borderId="36" xfId="0" applyFont="1" applyBorder="1">
      <alignment vertical="center"/>
    </xf>
    <xf numFmtId="164" fontId="13" fillId="9" borderId="0" xfId="1" applyFont="1" applyFill="1" applyBorder="1">
      <alignment vertical="center"/>
    </xf>
    <xf numFmtId="166" fontId="13" fillId="9" borderId="0" xfId="1" applyNumberFormat="1" applyFont="1" applyFill="1" applyBorder="1">
      <alignment vertical="center"/>
    </xf>
    <xf numFmtId="0" fontId="24" fillId="0" borderId="36" xfId="0" applyFont="1" applyBorder="1">
      <alignment vertical="center"/>
    </xf>
    <xf numFmtId="0" fontId="26" fillId="0" borderId="13" xfId="0" applyFont="1" applyBorder="1">
      <alignment vertical="center"/>
    </xf>
    <xf numFmtId="0" fontId="26" fillId="0" borderId="36" xfId="0" applyFont="1" applyBorder="1" applyAlignment="1">
      <alignment horizontal="left" vertical="center"/>
    </xf>
    <xf numFmtId="0" fontId="13" fillId="0" borderId="14" xfId="1" applyNumberFormat="1" applyFont="1" applyFill="1" applyBorder="1">
      <alignment vertical="center"/>
    </xf>
    <xf numFmtId="0" fontId="26" fillId="0" borderId="16" xfId="0" applyFont="1" applyBorder="1">
      <alignment vertical="center"/>
    </xf>
    <xf numFmtId="174" fontId="26" fillId="0" borderId="16" xfId="0" applyNumberFormat="1" applyFont="1" applyBorder="1">
      <alignment vertical="center"/>
    </xf>
    <xf numFmtId="164" fontId="8" fillId="3" borderId="0" xfId="1" applyFont="1" applyFill="1">
      <alignment vertical="center"/>
    </xf>
    <xf numFmtId="166" fontId="8" fillId="3" borderId="0" xfId="1" applyNumberFormat="1" applyFont="1" applyFill="1">
      <alignment vertical="center"/>
    </xf>
    <xf numFmtId="164" fontId="28" fillId="0" borderId="0" xfId="2" applyNumberFormat="1">
      <alignment vertical="center"/>
    </xf>
    <xf numFmtId="3" fontId="0" fillId="0" borderId="0" xfId="0" applyNumberFormat="1">
      <alignment vertical="center"/>
    </xf>
    <xf numFmtId="164" fontId="4" fillId="0" borderId="0" xfId="1" applyFont="1" applyBorder="1">
      <alignment vertical="center"/>
    </xf>
    <xf numFmtId="166" fontId="28" fillId="0" borderId="0" xfId="2" applyNumberFormat="1" applyBorder="1">
      <alignment vertical="center"/>
    </xf>
    <xf numFmtId="171" fontId="13" fillId="0" borderId="16" xfId="1" applyNumberFormat="1" applyFont="1" applyBorder="1">
      <alignment vertical="center"/>
    </xf>
    <xf numFmtId="166" fontId="28" fillId="0" borderId="16" xfId="2" applyNumberFormat="1" applyBorder="1">
      <alignment vertical="center"/>
    </xf>
    <xf numFmtId="164" fontId="26" fillId="0" borderId="0" xfId="1" applyFont="1">
      <alignment vertical="center"/>
    </xf>
    <xf numFmtId="166" fontId="13" fillId="0" borderId="6" xfId="1" applyNumberFormat="1" applyFont="1" applyBorder="1">
      <alignment vertical="center"/>
    </xf>
    <xf numFmtId="166" fontId="13" fillId="0" borderId="9" xfId="1" applyNumberFormat="1" applyFont="1" applyBorder="1">
      <alignment vertical="center"/>
    </xf>
    <xf numFmtId="164" fontId="26" fillId="0" borderId="0" xfId="1" applyFont="1" applyBorder="1">
      <alignment vertical="center"/>
    </xf>
    <xf numFmtId="164" fontId="28" fillId="0" borderId="0" xfId="2" applyNumberFormat="1" applyBorder="1">
      <alignment vertical="center"/>
    </xf>
    <xf numFmtId="9" fontId="13" fillId="0" borderId="0" xfId="1" applyNumberFormat="1" applyFont="1">
      <alignment vertical="center"/>
    </xf>
    <xf numFmtId="171" fontId="13" fillId="0" borderId="0" xfId="1" applyNumberFormat="1" applyFont="1">
      <alignment vertical="center"/>
    </xf>
    <xf numFmtId="168" fontId="13" fillId="3" borderId="0" xfId="1" applyNumberFormat="1" applyFont="1" applyFill="1" applyBorder="1">
      <alignment vertical="center"/>
    </xf>
    <xf numFmtId="164" fontId="8" fillId="5" borderId="18" xfId="1" applyFont="1" applyFill="1" applyBorder="1">
      <alignment vertical="center"/>
    </xf>
    <xf numFmtId="165" fontId="13" fillId="0" borderId="0" xfId="1" applyNumberFormat="1" applyFont="1">
      <alignment vertical="center"/>
    </xf>
    <xf numFmtId="164" fontId="13" fillId="3" borderId="14" xfId="1" applyFont="1" applyFill="1" applyBorder="1">
      <alignment vertical="center"/>
    </xf>
    <xf numFmtId="166" fontId="13" fillId="0" borderId="31" xfId="1" applyNumberFormat="1" applyFont="1" applyBorder="1">
      <alignment vertical="center"/>
    </xf>
    <xf numFmtId="164" fontId="8" fillId="0" borderId="16" xfId="1" applyFont="1" applyBorder="1">
      <alignment vertical="center"/>
    </xf>
    <xf numFmtId="165" fontId="0" fillId="0" borderId="0" xfId="0" applyNumberFormat="1">
      <alignment vertical="center"/>
    </xf>
    <xf numFmtId="166" fontId="13" fillId="0" borderId="10" xfId="1" applyNumberFormat="1" applyFont="1" applyFill="1" applyBorder="1">
      <alignment vertical="center"/>
    </xf>
    <xf numFmtId="166" fontId="8" fillId="0" borderId="13" xfId="1" applyNumberFormat="1" applyFont="1" applyFill="1" applyBorder="1">
      <alignment vertical="center"/>
    </xf>
    <xf numFmtId="166" fontId="13" fillId="0" borderId="13" xfId="1" applyNumberFormat="1" applyFont="1" applyFill="1" applyBorder="1">
      <alignment vertical="center"/>
    </xf>
    <xf numFmtId="166" fontId="13" fillId="0" borderId="13" xfId="1" applyNumberFormat="1" applyFont="1" applyBorder="1">
      <alignment vertical="center"/>
    </xf>
    <xf numFmtId="0" fontId="13" fillId="0" borderId="14" xfId="1" applyNumberFormat="1" applyFont="1" applyBorder="1">
      <alignment vertical="center"/>
    </xf>
    <xf numFmtId="0" fontId="17" fillId="0" borderId="14" xfId="1" applyNumberFormat="1" applyFont="1" applyBorder="1">
      <alignment vertical="center"/>
    </xf>
    <xf numFmtId="0" fontId="13" fillId="2" borderId="14" xfId="1" applyNumberFormat="1" applyFont="1" applyFill="1" applyBorder="1">
      <alignment vertical="center"/>
    </xf>
    <xf numFmtId="164" fontId="13" fillId="0" borderId="37" xfId="1" applyFont="1" applyFill="1" applyBorder="1">
      <alignment vertical="center"/>
    </xf>
    <xf numFmtId="0" fontId="13" fillId="0" borderId="37" xfId="1" applyNumberFormat="1" applyFont="1" applyFill="1" applyBorder="1">
      <alignment vertical="center"/>
    </xf>
    <xf numFmtId="0" fontId="13" fillId="0" borderId="13" xfId="1" applyNumberFormat="1" applyFont="1" applyFill="1" applyBorder="1" applyAlignment="1">
      <alignment horizontal="left" vertical="center"/>
    </xf>
    <xf numFmtId="0" fontId="8" fillId="0" borderId="13" xfId="1" applyNumberFormat="1" applyFont="1" applyBorder="1">
      <alignment vertical="center"/>
    </xf>
    <xf numFmtId="0" fontId="13" fillId="2" borderId="38" xfId="0" applyFont="1" applyFill="1" applyBorder="1">
      <alignment vertical="center"/>
    </xf>
    <xf numFmtId="164" fontId="13" fillId="2" borderId="4" xfId="1" applyFont="1" applyFill="1" applyBorder="1">
      <alignment vertical="center"/>
    </xf>
    <xf numFmtId="164" fontId="13" fillId="2" borderId="6" xfId="1" applyFont="1" applyFill="1" applyBorder="1">
      <alignment vertical="center"/>
    </xf>
    <xf numFmtId="0" fontId="13" fillId="2" borderId="25" xfId="1" applyNumberFormat="1" applyFont="1" applyFill="1" applyBorder="1">
      <alignment vertical="center"/>
    </xf>
    <xf numFmtId="164" fontId="13" fillId="2" borderId="9" xfId="1" applyFont="1" applyFill="1" applyBorder="1">
      <alignment vertical="center"/>
    </xf>
    <xf numFmtId="164" fontId="13" fillId="2" borderId="2" xfId="1" applyFont="1" applyFill="1" applyBorder="1">
      <alignment vertical="center"/>
    </xf>
    <xf numFmtId="164" fontId="13" fillId="2" borderId="5" xfId="1" applyFont="1" applyFill="1" applyBorder="1">
      <alignment vertical="center"/>
    </xf>
    <xf numFmtId="166" fontId="13" fillId="2" borderId="6" xfId="1" applyNumberFormat="1" applyFont="1" applyFill="1" applyBorder="1">
      <alignment vertical="center"/>
    </xf>
    <xf numFmtId="164" fontId="13" fillId="2" borderId="7" xfId="1" applyFont="1" applyFill="1" applyBorder="1">
      <alignment vertical="center"/>
    </xf>
    <xf numFmtId="166" fontId="13" fillId="2" borderId="9" xfId="1" applyNumberFormat="1" applyFont="1" applyFill="1" applyBorder="1">
      <alignment vertical="center"/>
    </xf>
    <xf numFmtId="0" fontId="16" fillId="2" borderId="0" xfId="1" applyNumberFormat="1" applyFont="1" applyFill="1" applyBorder="1">
      <alignment vertical="center"/>
    </xf>
    <xf numFmtId="166" fontId="16" fillId="2" borderId="0" xfId="1" applyNumberFormat="1" applyFont="1" applyFill="1" applyBorder="1">
      <alignment vertical="center"/>
    </xf>
    <xf numFmtId="164" fontId="17" fillId="2" borderId="5" xfId="1" applyFont="1" applyFill="1" applyBorder="1">
      <alignment vertical="center"/>
    </xf>
    <xf numFmtId="166" fontId="17" fillId="2" borderId="6" xfId="1" applyNumberFormat="1" applyFont="1" applyFill="1" applyBorder="1">
      <alignment vertical="center"/>
    </xf>
    <xf numFmtId="164" fontId="17" fillId="2" borderId="7" xfId="1" applyFont="1" applyFill="1" applyBorder="1">
      <alignment vertical="center"/>
    </xf>
    <xf numFmtId="166" fontId="17" fillId="2" borderId="9" xfId="1" applyNumberFormat="1" applyFont="1" applyFill="1" applyBorder="1">
      <alignment vertical="center"/>
    </xf>
    <xf numFmtId="0" fontId="8" fillId="2" borderId="0" xfId="1" applyNumberFormat="1" applyFont="1" applyFill="1" applyBorder="1">
      <alignment vertical="center"/>
    </xf>
    <xf numFmtId="166" fontId="8" fillId="2" borderId="0" xfId="1" applyNumberFormat="1" applyFont="1" applyFill="1" applyBorder="1">
      <alignment vertical="center"/>
    </xf>
    <xf numFmtId="0" fontId="8" fillId="2" borderId="0" xfId="1" applyNumberFormat="1" applyFont="1" applyFill="1" applyBorder="1" applyAlignment="1">
      <alignment horizontal="left" vertical="center"/>
    </xf>
    <xf numFmtId="164" fontId="33" fillId="0" borderId="0" xfId="1" applyFont="1" applyBorder="1">
      <alignment vertical="center"/>
    </xf>
    <xf numFmtId="164" fontId="34" fillId="0" borderId="0" xfId="1" applyFont="1" applyBorder="1">
      <alignment vertical="center"/>
    </xf>
    <xf numFmtId="164" fontId="35" fillId="0" borderId="0" xfId="1" applyFont="1" applyBorder="1">
      <alignment vertical="center"/>
    </xf>
    <xf numFmtId="0" fontId="34" fillId="0" borderId="0" xfId="0" applyFont="1">
      <alignment vertical="center"/>
    </xf>
    <xf numFmtId="166" fontId="34" fillId="0" borderId="0" xfId="1" applyNumberFormat="1" applyFont="1" applyBorder="1">
      <alignment vertical="center"/>
    </xf>
    <xf numFmtId="0" fontId="33" fillId="0" borderId="0" xfId="0" applyFont="1">
      <alignment vertical="center"/>
    </xf>
    <xf numFmtId="166" fontId="33" fillId="0" borderId="0" xfId="1" applyNumberFormat="1" applyFont="1" applyBorder="1">
      <alignment vertical="center"/>
    </xf>
    <xf numFmtId="0" fontId="34" fillId="0" borderId="0" xfId="1" applyNumberFormat="1" applyFont="1" applyBorder="1">
      <alignment vertical="center"/>
    </xf>
    <xf numFmtId="0" fontId="34" fillId="2" borderId="0" xfId="0" applyFont="1" applyFill="1">
      <alignment vertical="center"/>
    </xf>
    <xf numFmtId="166" fontId="34" fillId="2" borderId="0" xfId="1" applyNumberFormat="1" applyFont="1" applyFill="1" applyBorder="1">
      <alignment vertical="center"/>
    </xf>
    <xf numFmtId="0" fontId="34" fillId="2" borderId="0" xfId="1" applyNumberFormat="1" applyFont="1" applyFill="1" applyBorder="1">
      <alignment vertical="center"/>
    </xf>
    <xf numFmtId="0" fontId="33" fillId="7" borderId="19" xfId="1" applyNumberFormat="1" applyFont="1" applyFill="1" applyBorder="1">
      <alignment vertical="center"/>
    </xf>
    <xf numFmtId="166" fontId="33" fillId="7" borderId="18" xfId="1" applyNumberFormat="1" applyFont="1" applyFill="1" applyBorder="1">
      <alignment vertical="center"/>
    </xf>
    <xf numFmtId="0" fontId="33" fillId="7" borderId="20" xfId="0" applyFont="1" applyFill="1" applyBorder="1">
      <alignment vertical="center"/>
    </xf>
    <xf numFmtId="164" fontId="36" fillId="0" borderId="0" xfId="1" applyFont="1">
      <alignment vertical="center"/>
    </xf>
    <xf numFmtId="166" fontId="13" fillId="10" borderId="0" xfId="1" applyNumberFormat="1" applyFont="1" applyFill="1">
      <alignment vertical="center"/>
    </xf>
    <xf numFmtId="166" fontId="13" fillId="10" borderId="0" xfId="1" applyNumberFormat="1" applyFont="1" applyFill="1" applyBorder="1">
      <alignment vertical="center"/>
    </xf>
    <xf numFmtId="166" fontId="8" fillId="0" borderId="39" xfId="1" applyNumberFormat="1" applyFont="1" applyBorder="1">
      <alignment vertical="center"/>
    </xf>
    <xf numFmtId="164" fontId="13" fillId="0" borderId="29" xfId="1" applyFont="1" applyBorder="1">
      <alignment vertical="center"/>
    </xf>
    <xf numFmtId="166" fontId="13" fillId="10" borderId="29" xfId="1" applyNumberFormat="1" applyFont="1" applyFill="1" applyBorder="1">
      <alignment vertical="center"/>
    </xf>
    <xf numFmtId="164" fontId="13" fillId="0" borderId="30" xfId="1" applyFont="1" applyBorder="1">
      <alignment vertical="center"/>
    </xf>
    <xf numFmtId="164" fontId="8" fillId="0" borderId="0" xfId="1" applyFont="1" applyBorder="1" applyAlignment="1">
      <alignment horizontal="center" vertical="center"/>
    </xf>
    <xf numFmtId="166" fontId="8" fillId="0" borderId="2" xfId="1" applyNumberFormat="1" applyFont="1" applyBorder="1">
      <alignment vertical="center"/>
    </xf>
    <xf numFmtId="164" fontId="8" fillId="0" borderId="5" xfId="1" applyFont="1" applyBorder="1" applyAlignment="1">
      <alignment horizontal="center" vertical="center"/>
    </xf>
    <xf numFmtId="164" fontId="8" fillId="0" borderId="6" xfId="1" applyFont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37" fillId="0" borderId="0" xfId="1" applyNumberFormat="1" applyFont="1" applyBorder="1">
      <alignment vertical="center"/>
    </xf>
    <xf numFmtId="0" fontId="38" fillId="0" borderId="0" xfId="1" applyNumberFormat="1" applyFont="1" applyBorder="1">
      <alignment vertical="center"/>
    </xf>
    <xf numFmtId="164" fontId="20" fillId="0" borderId="0" xfId="1" applyFont="1" applyBorder="1">
      <alignment vertical="center"/>
    </xf>
    <xf numFmtId="164" fontId="13" fillId="0" borderId="25" xfId="1" applyFont="1" applyBorder="1">
      <alignment vertical="center"/>
    </xf>
    <xf numFmtId="164" fontId="27" fillId="0" borderId="8" xfId="1" applyFont="1" applyBorder="1">
      <alignment vertical="center"/>
    </xf>
    <xf numFmtId="164" fontId="13" fillId="0" borderId="38" xfId="1" applyFont="1" applyBorder="1">
      <alignment vertical="center"/>
    </xf>
    <xf numFmtId="0" fontId="13" fillId="0" borderId="25" xfId="1" applyNumberFormat="1" applyFont="1" applyFill="1" applyBorder="1" applyAlignment="1">
      <alignment horizontal="left" vertical="center"/>
    </xf>
    <xf numFmtId="164" fontId="27" fillId="0" borderId="25" xfId="1" applyFont="1" applyFill="1" applyBorder="1">
      <alignment vertical="center"/>
    </xf>
    <xf numFmtId="0" fontId="20" fillId="0" borderId="13" xfId="0" applyFont="1" applyBorder="1">
      <alignment vertical="center"/>
    </xf>
    <xf numFmtId="0" fontId="27" fillId="3" borderId="0" xfId="1" applyNumberFormat="1" applyFont="1" applyFill="1" applyBorder="1">
      <alignment vertical="center"/>
    </xf>
    <xf numFmtId="0" fontId="26" fillId="0" borderId="2" xfId="0" applyFont="1" applyBorder="1">
      <alignment vertical="center"/>
    </xf>
    <xf numFmtId="0" fontId="26" fillId="0" borderId="4" xfId="0" applyFont="1" applyBorder="1">
      <alignment vertical="center"/>
    </xf>
    <xf numFmtId="0" fontId="26" fillId="0" borderId="5" xfId="0" applyFont="1" applyBorder="1">
      <alignment vertical="center"/>
    </xf>
    <xf numFmtId="0" fontId="26" fillId="0" borderId="6" xfId="0" applyFont="1" applyBorder="1">
      <alignment vertical="center"/>
    </xf>
    <xf numFmtId="0" fontId="26" fillId="0" borderId="7" xfId="0" applyFont="1" applyBorder="1">
      <alignment vertical="center"/>
    </xf>
    <xf numFmtId="2" fontId="26" fillId="0" borderId="8" xfId="0" applyNumberFormat="1" applyFont="1" applyBorder="1">
      <alignment vertical="center"/>
    </xf>
    <xf numFmtId="0" fontId="26" fillId="0" borderId="9" xfId="0" applyFont="1" applyBorder="1">
      <alignment vertical="center"/>
    </xf>
    <xf numFmtId="164" fontId="13" fillId="0" borderId="2" xfId="1" applyFont="1" applyFill="1" applyBorder="1">
      <alignment vertical="center"/>
    </xf>
    <xf numFmtId="172" fontId="13" fillId="0" borderId="6" xfId="1" applyNumberFormat="1" applyFont="1" applyBorder="1">
      <alignment vertical="center"/>
    </xf>
    <xf numFmtId="164" fontId="13" fillId="0" borderId="8" xfId="1" applyFont="1" applyFill="1" applyBorder="1">
      <alignment vertical="center"/>
    </xf>
    <xf numFmtId="0" fontId="26" fillId="0" borderId="8" xfId="0" applyFont="1" applyBorder="1">
      <alignment vertical="center"/>
    </xf>
    <xf numFmtId="164" fontId="26" fillId="0" borderId="8" xfId="0" applyNumberFormat="1" applyFont="1" applyBorder="1">
      <alignment vertical="center"/>
    </xf>
    <xf numFmtId="164" fontId="27" fillId="0" borderId="2" xfId="1" applyFont="1" applyBorder="1">
      <alignment vertical="center"/>
    </xf>
    <xf numFmtId="166" fontId="13" fillId="0" borderId="3" xfId="1" applyNumberFormat="1" applyFont="1" applyFill="1" applyBorder="1">
      <alignment vertical="center"/>
    </xf>
    <xf numFmtId="164" fontId="13" fillId="0" borderId="3" xfId="1" applyFont="1" applyFill="1" applyBorder="1">
      <alignment vertical="center"/>
    </xf>
    <xf numFmtId="164" fontId="13" fillId="0" borderId="4" xfId="1" applyFont="1" applyFill="1" applyBorder="1">
      <alignment vertical="center"/>
    </xf>
    <xf numFmtId="171" fontId="13" fillId="0" borderId="6" xfId="1" applyNumberFormat="1" applyFont="1" applyFill="1" applyBorder="1">
      <alignment vertical="center"/>
    </xf>
    <xf numFmtId="171" fontId="13" fillId="0" borderId="8" xfId="1" applyNumberFormat="1" applyFont="1" applyFill="1" applyBorder="1">
      <alignment vertical="center"/>
    </xf>
    <xf numFmtId="171" fontId="13" fillId="0" borderId="9" xfId="1" applyNumberFormat="1" applyFont="1" applyFill="1" applyBorder="1">
      <alignment vertical="center"/>
    </xf>
    <xf numFmtId="0" fontId="13" fillId="0" borderId="3" xfId="1" applyNumberFormat="1" applyFont="1" applyFill="1" applyBorder="1">
      <alignment vertical="center"/>
    </xf>
    <xf numFmtId="175" fontId="13" fillId="0" borderId="6" xfId="1" applyNumberFormat="1" applyFont="1" applyFill="1" applyBorder="1">
      <alignment vertical="center"/>
    </xf>
    <xf numFmtId="164" fontId="13" fillId="0" borderId="5" xfId="1" applyFont="1" applyFill="1" applyBorder="1">
      <alignment vertical="center"/>
    </xf>
    <xf numFmtId="164" fontId="13" fillId="0" borderId="6" xfId="1" applyFont="1" applyFill="1" applyBorder="1">
      <alignment vertical="center"/>
    </xf>
    <xf numFmtId="164" fontId="13" fillId="0" borderId="7" xfId="1" applyFont="1" applyFill="1" applyBorder="1">
      <alignment vertical="center"/>
    </xf>
    <xf numFmtId="166" fontId="13" fillId="0" borderId="8" xfId="1" applyNumberFormat="1" applyFont="1" applyFill="1" applyBorder="1">
      <alignment vertical="center"/>
    </xf>
    <xf numFmtId="164" fontId="13" fillId="0" borderId="9" xfId="1" applyFont="1" applyFill="1" applyBorder="1">
      <alignment vertical="center"/>
    </xf>
    <xf numFmtId="166" fontId="8" fillId="0" borderId="8" xfId="1" applyNumberFormat="1" applyFont="1" applyBorder="1">
      <alignment vertical="center"/>
    </xf>
    <xf numFmtId="164" fontId="27" fillId="3" borderId="0" xfId="1" applyFont="1" applyFill="1">
      <alignment vertical="center"/>
    </xf>
    <xf numFmtId="166" fontId="8" fillId="0" borderId="0" xfId="1" applyNumberFormat="1" applyFont="1">
      <alignment vertical="center"/>
    </xf>
    <xf numFmtId="0" fontId="27" fillId="0" borderId="0" xfId="0" applyFont="1">
      <alignment vertical="center"/>
    </xf>
    <xf numFmtId="0" fontId="13" fillId="0" borderId="38" xfId="1" applyNumberFormat="1" applyFont="1" applyBorder="1">
      <alignment vertical="center"/>
    </xf>
    <xf numFmtId="0" fontId="13" fillId="0" borderId="3" xfId="1" applyNumberFormat="1" applyFont="1" applyBorder="1">
      <alignment vertical="center"/>
    </xf>
    <xf numFmtId="0" fontId="13" fillId="0" borderId="4" xfId="1" applyNumberFormat="1" applyFont="1" applyBorder="1">
      <alignment vertical="center"/>
    </xf>
    <xf numFmtId="0" fontId="13" fillId="0" borderId="6" xfId="1" applyNumberFormat="1" applyFont="1" applyBorder="1">
      <alignment vertical="center"/>
    </xf>
    <xf numFmtId="0" fontId="13" fillId="0" borderId="25" xfId="1" applyNumberFormat="1" applyFont="1" applyBorder="1">
      <alignment vertical="center"/>
    </xf>
    <xf numFmtId="0" fontId="13" fillId="0" borderId="8" xfId="1" applyNumberFormat="1" applyFont="1" applyBorder="1">
      <alignment vertical="center"/>
    </xf>
    <xf numFmtId="0" fontId="13" fillId="0" borderId="9" xfId="1" applyNumberFormat="1" applyFont="1" applyBorder="1">
      <alignment vertical="center"/>
    </xf>
    <xf numFmtId="164" fontId="8" fillId="0" borderId="32" xfId="1" applyFont="1" applyBorder="1">
      <alignment vertical="center"/>
    </xf>
    <xf numFmtId="164" fontId="8" fillId="0" borderId="29" xfId="1" applyFont="1" applyBorder="1">
      <alignment vertical="center"/>
    </xf>
    <xf numFmtId="164" fontId="8" fillId="0" borderId="30" xfId="1" applyFont="1" applyBorder="1">
      <alignment vertical="center"/>
    </xf>
    <xf numFmtId="164" fontId="13" fillId="0" borderId="32" xfId="1" applyFont="1" applyBorder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164" fontId="17" fillId="11" borderId="5" xfId="1" applyFont="1" applyFill="1" applyBorder="1">
      <alignment vertical="center"/>
    </xf>
    <xf numFmtId="164" fontId="17" fillId="11" borderId="7" xfId="1" applyFont="1" applyFill="1" applyBorder="1">
      <alignment vertical="center"/>
    </xf>
    <xf numFmtId="166" fontId="17" fillId="11" borderId="6" xfId="1" applyNumberFormat="1" applyFont="1" applyFill="1" applyBorder="1">
      <alignment vertical="center"/>
    </xf>
    <xf numFmtId="166" fontId="17" fillId="11" borderId="9" xfId="1" applyNumberFormat="1" applyFont="1" applyFill="1" applyBorder="1">
      <alignment vertical="center"/>
    </xf>
    <xf numFmtId="164" fontId="17" fillId="11" borderId="2" xfId="1" applyFont="1" applyFill="1" applyBorder="1">
      <alignment vertical="center"/>
    </xf>
    <xf numFmtId="164" fontId="17" fillId="11" borderId="4" xfId="1" applyFont="1" applyFill="1" applyBorder="1">
      <alignment vertical="center"/>
    </xf>
    <xf numFmtId="164" fontId="17" fillId="11" borderId="6" xfId="1" applyFont="1" applyFill="1" applyBorder="1">
      <alignment vertical="center"/>
    </xf>
    <xf numFmtId="164" fontId="42" fillId="0" borderId="0" xfId="1" applyFont="1">
      <alignment vertical="center"/>
    </xf>
    <xf numFmtId="0" fontId="41" fillId="0" borderId="0" xfId="0" applyFont="1">
      <alignment vertical="center"/>
    </xf>
    <xf numFmtId="166" fontId="45" fillId="0" borderId="0" xfId="1" applyNumberFormat="1" applyFont="1">
      <alignment vertical="center"/>
    </xf>
    <xf numFmtId="0" fontId="46" fillId="0" borderId="0" xfId="0" applyFont="1">
      <alignment vertical="center"/>
    </xf>
    <xf numFmtId="171" fontId="8" fillId="0" borderId="0" xfId="1" applyNumberFormat="1" applyFont="1" applyBorder="1">
      <alignment vertical="center"/>
    </xf>
    <xf numFmtId="0" fontId="14" fillId="0" borderId="0" xfId="1" applyNumberFormat="1" applyFont="1" applyBorder="1">
      <alignment vertical="center"/>
    </xf>
    <xf numFmtId="166" fontId="14" fillId="0" borderId="0" xfId="1" applyNumberFormat="1" applyFont="1">
      <alignment vertical="center"/>
    </xf>
    <xf numFmtId="166" fontId="8" fillId="0" borderId="16" xfId="1" applyNumberFormat="1" applyFont="1" applyBorder="1">
      <alignment vertical="center"/>
    </xf>
    <xf numFmtId="164" fontId="13" fillId="2" borderId="1" xfId="1" applyFont="1" applyFill="1" applyBorder="1">
      <alignment vertical="center"/>
    </xf>
    <xf numFmtId="164" fontId="13" fillId="2" borderId="40" xfId="1" applyFont="1" applyFill="1" applyBorder="1">
      <alignment vertical="center"/>
    </xf>
    <xf numFmtId="164" fontId="13" fillId="2" borderId="28" xfId="1" applyFont="1" applyFill="1" applyBorder="1">
      <alignment vertical="center"/>
    </xf>
    <xf numFmtId="166" fontId="13" fillId="0" borderId="40" xfId="1" applyNumberFormat="1" applyFont="1" applyBorder="1">
      <alignment vertical="center"/>
    </xf>
    <xf numFmtId="166" fontId="13" fillId="0" borderId="28" xfId="1" applyNumberFormat="1" applyFont="1" applyBorder="1">
      <alignment vertical="center"/>
    </xf>
    <xf numFmtId="164" fontId="13" fillId="2" borderId="29" xfId="1" applyFont="1" applyFill="1" applyBorder="1" applyAlignment="1">
      <alignment horizontal="center" vertical="center"/>
    </xf>
    <xf numFmtId="164" fontId="13" fillId="2" borderId="1" xfId="1" applyFont="1" applyFill="1" applyBorder="1" applyAlignment="1">
      <alignment horizontal="center" vertical="center"/>
    </xf>
    <xf numFmtId="164" fontId="13" fillId="2" borderId="30" xfId="1" applyFont="1" applyFill="1" applyBorder="1" applyAlignment="1">
      <alignment horizontal="center" vertical="center"/>
    </xf>
    <xf numFmtId="164" fontId="13" fillId="2" borderId="41" xfId="1" applyFont="1" applyFill="1" applyBorder="1">
      <alignment vertical="center"/>
    </xf>
    <xf numFmtId="166" fontId="13" fillId="2" borderId="42" xfId="1" applyNumberFormat="1" applyFont="1" applyFill="1" applyBorder="1">
      <alignment vertical="center"/>
    </xf>
    <xf numFmtId="164" fontId="13" fillId="2" borderId="43" xfId="1" applyFont="1" applyFill="1" applyBorder="1">
      <alignment vertical="center"/>
    </xf>
    <xf numFmtId="164" fontId="13" fillId="0" borderId="41" xfId="1" applyFont="1" applyBorder="1">
      <alignment vertical="center"/>
    </xf>
    <xf numFmtId="164" fontId="13" fillId="2" borderId="13" xfId="1" applyFont="1" applyFill="1" applyBorder="1">
      <alignment vertical="center"/>
    </xf>
    <xf numFmtId="164" fontId="13" fillId="2" borderId="8" xfId="1" applyFont="1" applyFill="1" applyBorder="1">
      <alignment vertical="center"/>
    </xf>
    <xf numFmtId="164" fontId="13" fillId="2" borderId="3" xfId="1" applyFont="1" applyFill="1" applyBorder="1">
      <alignment vertical="center"/>
    </xf>
    <xf numFmtId="166" fontId="13" fillId="0" borderId="42" xfId="1" applyNumberFormat="1" applyFont="1" applyBorder="1">
      <alignment vertical="center"/>
    </xf>
    <xf numFmtId="0" fontId="24" fillId="0" borderId="36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64" fontId="18" fillId="0" borderId="3" xfId="1" applyFont="1" applyBorder="1" applyAlignment="1">
      <alignment horizontal="center" vertical="center"/>
    </xf>
    <xf numFmtId="164" fontId="27" fillId="0" borderId="2" xfId="1" applyFont="1" applyBorder="1" applyAlignment="1">
      <alignment horizontal="center" vertical="center"/>
    </xf>
    <xf numFmtId="164" fontId="13" fillId="0" borderId="3" xfId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66" fontId="13" fillId="10" borderId="0" xfId="1" applyNumberFormat="1" applyFont="1" applyFill="1" applyBorder="1" applyProtection="1">
      <alignment vertical="center"/>
      <protection locked="0"/>
    </xf>
    <xf numFmtId="166" fontId="13" fillId="10" borderId="3" xfId="1" applyNumberFormat="1" applyFont="1" applyFill="1" applyBorder="1" applyProtection="1">
      <alignment vertical="center"/>
      <protection locked="0"/>
    </xf>
    <xf numFmtId="166" fontId="13" fillId="10" borderId="8" xfId="1" applyNumberFormat="1" applyFont="1" applyFill="1" applyBorder="1" applyProtection="1">
      <alignment vertical="center"/>
      <protection locked="0"/>
    </xf>
    <xf numFmtId="164" fontId="13" fillId="10" borderId="3" xfId="1" applyFont="1" applyFill="1" applyBorder="1" applyProtection="1">
      <alignment vertical="center"/>
      <protection locked="0"/>
    </xf>
    <xf numFmtId="164" fontId="13" fillId="10" borderId="0" xfId="1" applyFont="1" applyFill="1" applyBorder="1" applyProtection="1">
      <alignment vertical="center"/>
      <protection locked="0"/>
    </xf>
    <xf numFmtId="164" fontId="13" fillId="10" borderId="8" xfId="1" applyFont="1" applyFill="1" applyBorder="1" applyProtection="1">
      <alignment vertical="center"/>
      <protection locked="0"/>
    </xf>
    <xf numFmtId="164" fontId="17" fillId="10" borderId="0" xfId="1" applyFont="1" applyFill="1" applyBorder="1" applyProtection="1">
      <alignment vertical="center"/>
      <protection locked="0"/>
    </xf>
    <xf numFmtId="164" fontId="17" fillId="10" borderId="8" xfId="1" applyFont="1" applyFill="1" applyBorder="1" applyProtection="1">
      <alignment vertical="center"/>
      <protection locked="0"/>
    </xf>
    <xf numFmtId="164" fontId="13" fillId="10" borderId="43" xfId="1" applyFont="1" applyFill="1" applyBorder="1" applyProtection="1">
      <alignment vertical="center"/>
      <protection locked="0"/>
    </xf>
    <xf numFmtId="168" fontId="13" fillId="10" borderId="0" xfId="1" applyNumberFormat="1" applyFont="1" applyFill="1" applyBorder="1" applyProtection="1">
      <alignment vertical="center"/>
      <protection locked="0"/>
    </xf>
    <xf numFmtId="168" fontId="13" fillId="10" borderId="5" xfId="1" applyNumberFormat="1" applyFont="1" applyFill="1" applyBorder="1" applyProtection="1">
      <alignment vertical="center"/>
      <protection locked="0"/>
    </xf>
    <xf numFmtId="168" fontId="13" fillId="10" borderId="8" xfId="1" applyNumberFormat="1" applyFont="1" applyFill="1" applyBorder="1" applyProtection="1">
      <alignment vertical="center"/>
      <protection locked="0"/>
    </xf>
    <xf numFmtId="168" fontId="13" fillId="10" borderId="7" xfId="1" applyNumberFormat="1" applyFont="1" applyFill="1" applyBorder="1" applyProtection="1">
      <alignment vertical="center"/>
      <protection locked="0"/>
    </xf>
    <xf numFmtId="164" fontId="8" fillId="0" borderId="5" xfId="1" applyFont="1" applyBorder="1" applyAlignment="1" applyProtection="1">
      <alignment horizontal="center" vertical="center"/>
      <protection locked="0"/>
    </xf>
    <xf numFmtId="166" fontId="13" fillId="10" borderId="5" xfId="1" applyNumberFormat="1" applyFont="1" applyFill="1" applyBorder="1" applyProtection="1">
      <alignment vertical="center"/>
      <protection locked="0"/>
    </xf>
    <xf numFmtId="164" fontId="13" fillId="10" borderId="5" xfId="1" applyFont="1" applyFill="1" applyBorder="1" applyProtection="1">
      <alignment vertical="center"/>
      <protection locked="0"/>
    </xf>
    <xf numFmtId="166" fontId="13" fillId="10" borderId="7" xfId="1" applyNumberFormat="1" applyFont="1" applyFill="1" applyBorder="1" applyProtection="1">
      <alignment vertical="center"/>
      <protection locked="0"/>
    </xf>
    <xf numFmtId="164" fontId="8" fillId="0" borderId="0" xfId="1" applyFont="1" applyBorder="1" applyAlignment="1" applyProtection="1">
      <alignment horizontal="center" vertical="center"/>
      <protection locked="0"/>
    </xf>
    <xf numFmtId="171" fontId="13" fillId="10" borderId="0" xfId="1" applyNumberFormat="1" applyFont="1" applyFill="1" applyBorder="1" applyProtection="1">
      <alignment vertical="center"/>
      <protection locked="0"/>
    </xf>
    <xf numFmtId="171" fontId="13" fillId="10" borderId="8" xfId="1" applyNumberFormat="1" applyFont="1" applyFill="1" applyBorder="1" applyProtection="1">
      <alignment vertical="center"/>
      <protection locked="0"/>
    </xf>
    <xf numFmtId="166" fontId="13" fillId="10" borderId="29" xfId="1" applyNumberFormat="1" applyFont="1" applyFill="1" applyBorder="1" applyProtection="1">
      <alignment vertical="center"/>
      <protection locked="0"/>
    </xf>
    <xf numFmtId="164" fontId="13" fillId="0" borderId="0" xfId="1" applyFont="1" applyBorder="1" applyProtection="1">
      <alignment vertical="center"/>
      <protection locked="0"/>
    </xf>
    <xf numFmtId="166" fontId="13" fillId="0" borderId="0" xfId="1" applyNumberFormat="1" applyFont="1" applyBorder="1" applyProtection="1">
      <alignment vertical="center"/>
      <protection locked="0"/>
    </xf>
    <xf numFmtId="164" fontId="13" fillId="0" borderId="8" xfId="1" applyFont="1" applyBorder="1" applyProtection="1">
      <alignment vertical="center"/>
      <protection locked="0"/>
    </xf>
    <xf numFmtId="164" fontId="17" fillId="10" borderId="3" xfId="1" applyFont="1" applyFill="1" applyBorder="1" applyProtection="1">
      <alignment vertical="center"/>
      <protection locked="0"/>
    </xf>
    <xf numFmtId="166" fontId="13" fillId="8" borderId="11" xfId="1" applyNumberFormat="1" applyFont="1" applyFill="1" applyBorder="1" applyProtection="1">
      <alignment vertical="center"/>
      <protection locked="0"/>
    </xf>
    <xf numFmtId="166" fontId="8" fillId="8" borderId="0" xfId="1" applyNumberFormat="1" applyFont="1" applyFill="1" applyBorder="1" applyProtection="1">
      <alignment vertical="center"/>
      <protection locked="0"/>
    </xf>
    <xf numFmtId="164" fontId="13" fillId="0" borderId="3" xfId="1" applyFont="1" applyBorder="1" applyProtection="1">
      <alignment vertical="center"/>
      <protection locked="0"/>
    </xf>
    <xf numFmtId="0" fontId="26" fillId="10" borderId="5" xfId="0" applyFont="1" applyFill="1" applyBorder="1" applyProtection="1">
      <alignment vertical="center"/>
      <protection locked="0"/>
    </xf>
    <xf numFmtId="164" fontId="8" fillId="10" borderId="20" xfId="1" applyFont="1" applyFill="1" applyBorder="1" applyProtection="1">
      <alignment vertical="center"/>
      <protection locked="0"/>
    </xf>
    <xf numFmtId="164" fontId="13" fillId="0" borderId="16" xfId="1" applyFont="1" applyBorder="1" applyProtection="1">
      <alignment vertical="center"/>
      <protection locked="0"/>
    </xf>
    <xf numFmtId="166" fontId="13" fillId="0" borderId="3" xfId="1" applyNumberFormat="1" applyFont="1" applyBorder="1" applyProtection="1">
      <alignment vertical="center"/>
      <protection locked="0"/>
    </xf>
    <xf numFmtId="3" fontId="0" fillId="10" borderId="5" xfId="0" applyNumberFormat="1" applyFill="1" applyBorder="1" applyProtection="1">
      <alignment vertical="center"/>
      <protection locked="0"/>
    </xf>
    <xf numFmtId="164" fontId="13" fillId="10" borderId="16" xfId="1" applyFont="1" applyFill="1" applyBorder="1" applyProtection="1">
      <alignment vertical="center"/>
      <protection locked="0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FE7D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780743</xdr:colOff>
      <xdr:row>4</xdr:row>
      <xdr:rowOff>173863</xdr:rowOff>
    </xdr:from>
    <xdr:to>
      <xdr:col>8</xdr:col>
      <xdr:colOff>710051</xdr:colOff>
      <xdr:row>6</xdr:row>
      <xdr:rowOff>37111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29FECF04-C71D-405C-9567-4EBB2F8EC77E}"/>
            </a:ext>
          </a:extLst>
        </xdr:cNvPr>
        <xdr:cNvSpPr/>
      </xdr:nvSpPr>
      <xdr:spPr>
        <a:xfrm rot="16200000">
          <a:off x="6061182" y="608424"/>
          <a:ext cx="244248" cy="93376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34017</xdr:colOff>
      <xdr:row>4</xdr:row>
      <xdr:rowOff>187473</xdr:rowOff>
    </xdr:from>
    <xdr:to>
      <xdr:col>18</xdr:col>
      <xdr:colOff>1115785</xdr:colOff>
      <xdr:row>6</xdr:row>
      <xdr:rowOff>13607</xdr:rowOff>
    </xdr:to>
    <xdr:sp macro="" textlink="">
      <xdr:nvSpPr>
        <xdr:cNvPr id="8" name="화살표: 아래쪽 7">
          <a:extLst>
            <a:ext uri="{FF2B5EF4-FFF2-40B4-BE49-F238E27FC236}">
              <a16:creationId xmlns:a16="http://schemas.microsoft.com/office/drawing/2014/main" id="{A79A2930-AD9D-4543-8924-F70349881BF1}"/>
            </a:ext>
          </a:extLst>
        </xdr:cNvPr>
        <xdr:cNvSpPr/>
      </xdr:nvSpPr>
      <xdr:spPr>
        <a:xfrm rot="16200000">
          <a:off x="17963316" y="532567"/>
          <a:ext cx="220741" cy="108176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831272</xdr:colOff>
      <xdr:row>56</xdr:row>
      <xdr:rowOff>173181</xdr:rowOff>
    </xdr:from>
    <xdr:to>
      <xdr:col>7</xdr:col>
      <xdr:colOff>17318</xdr:colOff>
      <xdr:row>79</xdr:row>
      <xdr:rowOff>138546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B3A85B4D-9592-4BC4-81DC-635D6F9BDB0E}"/>
            </a:ext>
          </a:extLst>
        </xdr:cNvPr>
        <xdr:cNvCxnSpPr/>
      </xdr:nvCxnSpPr>
      <xdr:spPr>
        <a:xfrm>
          <a:off x="6234545" y="12261272"/>
          <a:ext cx="935182" cy="48490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315685</xdr:colOff>
      <xdr:row>24</xdr:row>
      <xdr:rowOff>54428</xdr:rowOff>
    </xdr:from>
    <xdr:to>
      <xdr:col>6</xdr:col>
      <xdr:colOff>710046</xdr:colOff>
      <xdr:row>61</xdr:row>
      <xdr:rowOff>173180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3CCD4A27-1C3A-4825-AE71-FF6F8C9EA015}"/>
            </a:ext>
          </a:extLst>
        </xdr:cNvPr>
        <xdr:cNvSpPr/>
      </xdr:nvSpPr>
      <xdr:spPr>
        <a:xfrm>
          <a:off x="4520292" y="4912178"/>
          <a:ext cx="394361" cy="782039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780743</xdr:colOff>
      <xdr:row>4</xdr:row>
      <xdr:rowOff>173863</xdr:rowOff>
    </xdr:from>
    <xdr:to>
      <xdr:col>8</xdr:col>
      <xdr:colOff>710051</xdr:colOff>
      <xdr:row>6</xdr:row>
      <xdr:rowOff>37111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CDBF9187-7006-414B-AC2C-8DC03BFC8E45}"/>
            </a:ext>
          </a:extLst>
        </xdr:cNvPr>
        <xdr:cNvSpPr/>
      </xdr:nvSpPr>
      <xdr:spPr>
        <a:xfrm rot="16200000">
          <a:off x="6047761" y="602795"/>
          <a:ext cx="244248" cy="92943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206829</xdr:colOff>
      <xdr:row>24</xdr:row>
      <xdr:rowOff>81643</xdr:rowOff>
    </xdr:from>
    <xdr:to>
      <xdr:col>10</xdr:col>
      <xdr:colOff>571501</xdr:colOff>
      <xdr:row>61</xdr:row>
      <xdr:rowOff>138546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8B76D0BE-8DC7-4EB3-9E6A-F2A2C6FB152B}"/>
            </a:ext>
          </a:extLst>
        </xdr:cNvPr>
        <xdr:cNvSpPr/>
      </xdr:nvSpPr>
      <xdr:spPr>
        <a:xfrm>
          <a:off x="7704365" y="4939393"/>
          <a:ext cx="364672" cy="775854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240170</xdr:colOff>
      <xdr:row>4</xdr:row>
      <xdr:rowOff>159885</xdr:rowOff>
    </xdr:from>
    <xdr:to>
      <xdr:col>12</xdr:col>
      <xdr:colOff>884469</xdr:colOff>
      <xdr:row>6</xdr:row>
      <xdr:rowOff>27212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5FF9780D-913A-4396-84A3-6D650B0476FF}"/>
            </a:ext>
          </a:extLst>
        </xdr:cNvPr>
        <xdr:cNvSpPr/>
      </xdr:nvSpPr>
      <xdr:spPr>
        <a:xfrm rot="16200000">
          <a:off x="9582156" y="733424"/>
          <a:ext cx="248327" cy="644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22455</xdr:colOff>
      <xdr:row>4</xdr:row>
      <xdr:rowOff>173490</xdr:rowOff>
    </xdr:from>
    <xdr:to>
      <xdr:col>16</xdr:col>
      <xdr:colOff>938897</xdr:colOff>
      <xdr:row>6</xdr:row>
      <xdr:rowOff>40817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13AE687E-19B1-4141-AB45-16630778C04F}"/>
            </a:ext>
          </a:extLst>
        </xdr:cNvPr>
        <xdr:cNvSpPr/>
      </xdr:nvSpPr>
      <xdr:spPr>
        <a:xfrm rot="16200000">
          <a:off x="12862837" y="610958"/>
          <a:ext cx="248327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120238</xdr:colOff>
      <xdr:row>79</xdr:row>
      <xdr:rowOff>34636</xdr:rowOff>
    </xdr:from>
    <xdr:to>
      <xdr:col>8</xdr:col>
      <xdr:colOff>519546</xdr:colOff>
      <xdr:row>85</xdr:row>
      <xdr:rowOff>155864</xdr:rowOff>
    </xdr:to>
    <xdr:sp macro="" textlink="">
      <xdr:nvSpPr>
        <xdr:cNvPr id="7" name="화살표: 아래쪽 6">
          <a:extLst>
            <a:ext uri="{FF2B5EF4-FFF2-40B4-BE49-F238E27FC236}">
              <a16:creationId xmlns:a16="http://schemas.microsoft.com/office/drawing/2014/main" id="{BC48DA86-D069-4A45-A2B4-0FCA1A2FDFFF}"/>
            </a:ext>
          </a:extLst>
        </xdr:cNvPr>
        <xdr:cNvSpPr/>
      </xdr:nvSpPr>
      <xdr:spPr>
        <a:xfrm>
          <a:off x="6044788" y="9550111"/>
          <a:ext cx="399308" cy="90227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174611</xdr:colOff>
      <xdr:row>5</xdr:row>
      <xdr:rowOff>173865</xdr:rowOff>
    </xdr:from>
    <xdr:to>
      <xdr:col>29</xdr:col>
      <xdr:colOff>415647</xdr:colOff>
      <xdr:row>7</xdr:row>
      <xdr:rowOff>19795</xdr:rowOff>
    </xdr:to>
    <xdr:sp macro="" textlink="">
      <xdr:nvSpPr>
        <xdr:cNvPr id="9" name="화살표: 아래쪽 8">
          <a:extLst>
            <a:ext uri="{FF2B5EF4-FFF2-40B4-BE49-F238E27FC236}">
              <a16:creationId xmlns:a16="http://schemas.microsoft.com/office/drawing/2014/main" id="{9758CF37-D364-4145-BA04-E55A0EBE94FD}"/>
            </a:ext>
          </a:extLst>
        </xdr:cNvPr>
        <xdr:cNvSpPr/>
      </xdr:nvSpPr>
      <xdr:spPr>
        <a:xfrm rot="16200000">
          <a:off x="28089914" y="595437"/>
          <a:ext cx="245980" cy="9268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843643</xdr:colOff>
      <xdr:row>59</xdr:row>
      <xdr:rowOff>149679</xdr:rowOff>
    </xdr:from>
    <xdr:to>
      <xdr:col>23</xdr:col>
      <xdr:colOff>81643</xdr:colOff>
      <xdr:row>79</xdr:row>
      <xdr:rowOff>108857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E9EDF550-24B5-422D-819F-9A27C9E49DE7}"/>
            </a:ext>
          </a:extLst>
        </xdr:cNvPr>
        <xdr:cNvCxnSpPr/>
      </xdr:nvCxnSpPr>
      <xdr:spPr>
        <a:xfrm>
          <a:off x="18532929" y="12654643"/>
          <a:ext cx="1401535" cy="420460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315686</xdr:colOff>
      <xdr:row>25</xdr:row>
      <xdr:rowOff>40821</xdr:rowOff>
    </xdr:from>
    <xdr:to>
      <xdr:col>6</xdr:col>
      <xdr:colOff>585108</xdr:colOff>
      <xdr:row>28</xdr:row>
      <xdr:rowOff>100692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DBF4E5AE-35C7-47FF-92B5-A5253B90F422}"/>
            </a:ext>
          </a:extLst>
        </xdr:cNvPr>
        <xdr:cNvSpPr/>
      </xdr:nvSpPr>
      <xdr:spPr>
        <a:xfrm>
          <a:off x="4520293" y="5075464"/>
          <a:ext cx="269422" cy="6994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798061</xdr:colOff>
      <xdr:row>4</xdr:row>
      <xdr:rowOff>200706</xdr:rowOff>
    </xdr:from>
    <xdr:to>
      <xdr:col>9</xdr:col>
      <xdr:colOff>5</xdr:colOff>
      <xdr:row>6</xdr:row>
      <xdr:rowOff>54429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0FB4FB58-02C8-4BA4-B130-560A9EFC5508}"/>
            </a:ext>
          </a:extLst>
        </xdr:cNvPr>
        <xdr:cNvSpPr/>
      </xdr:nvSpPr>
      <xdr:spPr>
        <a:xfrm rot="16200000">
          <a:off x="5833386" y="662667"/>
          <a:ext cx="289152" cy="6987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179615</xdr:colOff>
      <xdr:row>25</xdr:row>
      <xdr:rowOff>54428</xdr:rowOff>
    </xdr:from>
    <xdr:to>
      <xdr:col>10</xdr:col>
      <xdr:colOff>503465</xdr:colOff>
      <xdr:row>28</xdr:row>
      <xdr:rowOff>163286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EFC31A4E-2209-4385-BBFD-CAA38A235BA2}"/>
            </a:ext>
          </a:extLst>
        </xdr:cNvPr>
        <xdr:cNvSpPr/>
      </xdr:nvSpPr>
      <xdr:spPr>
        <a:xfrm>
          <a:off x="7690758" y="5089071"/>
          <a:ext cx="323850" cy="74839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240170</xdr:colOff>
      <xdr:row>4</xdr:row>
      <xdr:rowOff>159885</xdr:rowOff>
    </xdr:from>
    <xdr:to>
      <xdr:col>12</xdr:col>
      <xdr:colOff>884469</xdr:colOff>
      <xdr:row>6</xdr:row>
      <xdr:rowOff>27212</xdr:rowOff>
    </xdr:to>
    <xdr:sp macro="" textlink="">
      <xdr:nvSpPr>
        <xdr:cNvPr id="8" name="화살표: 아래쪽 7">
          <a:extLst>
            <a:ext uri="{FF2B5EF4-FFF2-40B4-BE49-F238E27FC236}">
              <a16:creationId xmlns:a16="http://schemas.microsoft.com/office/drawing/2014/main" id="{E3C2437E-5CF9-448F-A505-56B234C8D4A9}"/>
            </a:ext>
          </a:extLst>
        </xdr:cNvPr>
        <xdr:cNvSpPr/>
      </xdr:nvSpPr>
      <xdr:spPr>
        <a:xfrm rot="16200000">
          <a:off x="9228371" y="655863"/>
          <a:ext cx="302756" cy="644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22455</xdr:colOff>
      <xdr:row>4</xdr:row>
      <xdr:rowOff>173490</xdr:rowOff>
    </xdr:from>
    <xdr:to>
      <xdr:col>16</xdr:col>
      <xdr:colOff>938897</xdr:colOff>
      <xdr:row>6</xdr:row>
      <xdr:rowOff>40817</xdr:rowOff>
    </xdr:to>
    <xdr:sp macro="" textlink="">
      <xdr:nvSpPr>
        <xdr:cNvPr id="11" name="화살표: 아래쪽 10">
          <a:extLst>
            <a:ext uri="{FF2B5EF4-FFF2-40B4-BE49-F238E27FC236}">
              <a16:creationId xmlns:a16="http://schemas.microsoft.com/office/drawing/2014/main" id="{F280DA6D-A689-4D81-A4E1-9EF4CB19274F}"/>
            </a:ext>
          </a:extLst>
        </xdr:cNvPr>
        <xdr:cNvSpPr/>
      </xdr:nvSpPr>
      <xdr:spPr>
        <a:xfrm rot="16200000">
          <a:off x="12494084" y="805540"/>
          <a:ext cx="302755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120238</xdr:colOff>
      <xdr:row>47</xdr:row>
      <xdr:rowOff>34636</xdr:rowOff>
    </xdr:from>
    <xdr:to>
      <xdr:col>8</xdr:col>
      <xdr:colOff>519546</xdr:colOff>
      <xdr:row>51</xdr:row>
      <xdr:rowOff>155864</xdr:rowOff>
    </xdr:to>
    <xdr:sp macro="" textlink="">
      <xdr:nvSpPr>
        <xdr:cNvPr id="14" name="화살표: 아래쪽 13">
          <a:extLst>
            <a:ext uri="{FF2B5EF4-FFF2-40B4-BE49-F238E27FC236}">
              <a16:creationId xmlns:a16="http://schemas.microsoft.com/office/drawing/2014/main" id="{32AD4BCD-E62B-4575-B4E0-86331826880E}"/>
            </a:ext>
          </a:extLst>
        </xdr:cNvPr>
        <xdr:cNvSpPr/>
      </xdr:nvSpPr>
      <xdr:spPr>
        <a:xfrm>
          <a:off x="5765965" y="9646227"/>
          <a:ext cx="399308" cy="9178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302077</xdr:colOff>
      <xdr:row>25</xdr:row>
      <xdr:rowOff>81642</xdr:rowOff>
    </xdr:from>
    <xdr:to>
      <xdr:col>6</xdr:col>
      <xdr:colOff>598714</xdr:colOff>
      <xdr:row>28</xdr:row>
      <xdr:rowOff>155120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7E315711-2963-4FB9-AD1F-B96EA9948CA1}"/>
            </a:ext>
          </a:extLst>
        </xdr:cNvPr>
        <xdr:cNvSpPr/>
      </xdr:nvSpPr>
      <xdr:spPr>
        <a:xfrm>
          <a:off x="4506684" y="5129892"/>
          <a:ext cx="296637" cy="6857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798061</xdr:colOff>
      <xdr:row>4</xdr:row>
      <xdr:rowOff>200706</xdr:rowOff>
    </xdr:from>
    <xdr:to>
      <xdr:col>9</xdr:col>
      <xdr:colOff>5</xdr:colOff>
      <xdr:row>6</xdr:row>
      <xdr:rowOff>54429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D9CE1A1E-63A1-4EBC-B540-F31BD3B3DAF8}"/>
            </a:ext>
          </a:extLst>
        </xdr:cNvPr>
        <xdr:cNvSpPr/>
      </xdr:nvSpPr>
      <xdr:spPr>
        <a:xfrm rot="16200000">
          <a:off x="6039534" y="664708"/>
          <a:ext cx="244248" cy="87834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220436</xdr:colOff>
      <xdr:row>25</xdr:row>
      <xdr:rowOff>40821</xdr:rowOff>
    </xdr:from>
    <xdr:to>
      <xdr:col>10</xdr:col>
      <xdr:colOff>585108</xdr:colOff>
      <xdr:row>28</xdr:row>
      <xdr:rowOff>122464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047AB4B0-5B77-4882-A0FA-C6CB2A34CD31}"/>
            </a:ext>
          </a:extLst>
        </xdr:cNvPr>
        <xdr:cNvSpPr/>
      </xdr:nvSpPr>
      <xdr:spPr>
        <a:xfrm>
          <a:off x="7717972" y="5089071"/>
          <a:ext cx="364672" cy="6939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240170</xdr:colOff>
      <xdr:row>4</xdr:row>
      <xdr:rowOff>159885</xdr:rowOff>
    </xdr:from>
    <xdr:to>
      <xdr:col>12</xdr:col>
      <xdr:colOff>884469</xdr:colOff>
      <xdr:row>6</xdr:row>
      <xdr:rowOff>27212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A45016A0-A1AB-4227-BC9B-AE9788921757}"/>
            </a:ext>
          </a:extLst>
        </xdr:cNvPr>
        <xdr:cNvSpPr/>
      </xdr:nvSpPr>
      <xdr:spPr>
        <a:xfrm rot="16200000">
          <a:off x="9515481" y="752474"/>
          <a:ext cx="248327" cy="644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22455</xdr:colOff>
      <xdr:row>4</xdr:row>
      <xdr:rowOff>173490</xdr:rowOff>
    </xdr:from>
    <xdr:to>
      <xdr:col>16</xdr:col>
      <xdr:colOff>938897</xdr:colOff>
      <xdr:row>6</xdr:row>
      <xdr:rowOff>40817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720002B8-53D5-4A1F-8928-FFC470E9AD04}"/>
            </a:ext>
          </a:extLst>
        </xdr:cNvPr>
        <xdr:cNvSpPr/>
      </xdr:nvSpPr>
      <xdr:spPr>
        <a:xfrm rot="16200000">
          <a:off x="12777112" y="630008"/>
          <a:ext cx="248327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120238</xdr:colOff>
      <xdr:row>47</xdr:row>
      <xdr:rowOff>34636</xdr:rowOff>
    </xdr:from>
    <xdr:to>
      <xdr:col>8</xdr:col>
      <xdr:colOff>519546</xdr:colOff>
      <xdr:row>51</xdr:row>
      <xdr:rowOff>155864</xdr:rowOff>
    </xdr:to>
    <xdr:sp macro="" textlink="">
      <xdr:nvSpPr>
        <xdr:cNvPr id="7" name="화살표: 아래쪽 6">
          <a:extLst>
            <a:ext uri="{FF2B5EF4-FFF2-40B4-BE49-F238E27FC236}">
              <a16:creationId xmlns:a16="http://schemas.microsoft.com/office/drawing/2014/main" id="{12793572-C124-49CB-A70A-88903A59508A}"/>
            </a:ext>
          </a:extLst>
        </xdr:cNvPr>
        <xdr:cNvSpPr/>
      </xdr:nvSpPr>
      <xdr:spPr>
        <a:xfrm>
          <a:off x="6035263" y="9569161"/>
          <a:ext cx="399308" cy="90227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315685</xdr:colOff>
      <xdr:row>25</xdr:row>
      <xdr:rowOff>81642</xdr:rowOff>
    </xdr:from>
    <xdr:to>
      <xdr:col>6</xdr:col>
      <xdr:colOff>612322</xdr:colOff>
      <xdr:row>28</xdr:row>
      <xdr:rowOff>100691</xdr:rowOff>
    </xdr:to>
    <xdr:sp macro="" textlink="">
      <xdr:nvSpPr>
        <xdr:cNvPr id="2" name="화살표: 아래쪽 1">
          <a:extLst>
            <a:ext uri="{FF2B5EF4-FFF2-40B4-BE49-F238E27FC236}">
              <a16:creationId xmlns:a16="http://schemas.microsoft.com/office/drawing/2014/main" id="{39BDEB1B-7BD5-4A27-B9D8-1A6FA40D0B07}"/>
            </a:ext>
          </a:extLst>
        </xdr:cNvPr>
        <xdr:cNvSpPr/>
      </xdr:nvSpPr>
      <xdr:spPr>
        <a:xfrm>
          <a:off x="4520292" y="5143499"/>
          <a:ext cx="296637" cy="65858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798061</xdr:colOff>
      <xdr:row>4</xdr:row>
      <xdr:rowOff>200706</xdr:rowOff>
    </xdr:from>
    <xdr:to>
      <xdr:col>9</xdr:col>
      <xdr:colOff>5</xdr:colOff>
      <xdr:row>6</xdr:row>
      <xdr:rowOff>54429</xdr:rowOff>
    </xdr:to>
    <xdr:sp macro="" textlink="">
      <xdr:nvSpPr>
        <xdr:cNvPr id="3" name="화살표: 아래쪽 2">
          <a:extLst>
            <a:ext uri="{FF2B5EF4-FFF2-40B4-BE49-F238E27FC236}">
              <a16:creationId xmlns:a16="http://schemas.microsoft.com/office/drawing/2014/main" id="{84467283-E0D9-413B-AABD-3ECED6382906}"/>
            </a:ext>
          </a:extLst>
        </xdr:cNvPr>
        <xdr:cNvSpPr/>
      </xdr:nvSpPr>
      <xdr:spPr>
        <a:xfrm rot="16200000">
          <a:off x="6039534" y="645658"/>
          <a:ext cx="244248" cy="87834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206829</xdr:colOff>
      <xdr:row>25</xdr:row>
      <xdr:rowOff>54429</xdr:rowOff>
    </xdr:from>
    <xdr:to>
      <xdr:col>10</xdr:col>
      <xdr:colOff>571501</xdr:colOff>
      <xdr:row>28</xdr:row>
      <xdr:rowOff>54429</xdr:rowOff>
    </xdr:to>
    <xdr:sp macro="" textlink="">
      <xdr:nvSpPr>
        <xdr:cNvPr id="4" name="화살표: 아래쪽 3">
          <a:extLst>
            <a:ext uri="{FF2B5EF4-FFF2-40B4-BE49-F238E27FC236}">
              <a16:creationId xmlns:a16="http://schemas.microsoft.com/office/drawing/2014/main" id="{CCCCF0F0-9D9A-46DD-B115-C66810675968}"/>
            </a:ext>
          </a:extLst>
        </xdr:cNvPr>
        <xdr:cNvSpPr/>
      </xdr:nvSpPr>
      <xdr:spPr>
        <a:xfrm>
          <a:off x="7717972" y="5116286"/>
          <a:ext cx="364672" cy="6395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240170</xdr:colOff>
      <xdr:row>4</xdr:row>
      <xdr:rowOff>159885</xdr:rowOff>
    </xdr:from>
    <xdr:to>
      <xdr:col>12</xdr:col>
      <xdr:colOff>884469</xdr:colOff>
      <xdr:row>6</xdr:row>
      <xdr:rowOff>27212</xdr:rowOff>
    </xdr:to>
    <xdr:sp macro="" textlink="">
      <xdr:nvSpPr>
        <xdr:cNvPr id="5" name="화살표: 아래쪽 4">
          <a:extLst>
            <a:ext uri="{FF2B5EF4-FFF2-40B4-BE49-F238E27FC236}">
              <a16:creationId xmlns:a16="http://schemas.microsoft.com/office/drawing/2014/main" id="{8BBE49AF-7ACD-4985-94BF-4A0D565B4DDC}"/>
            </a:ext>
          </a:extLst>
        </xdr:cNvPr>
        <xdr:cNvSpPr/>
      </xdr:nvSpPr>
      <xdr:spPr>
        <a:xfrm rot="16200000">
          <a:off x="9515481" y="733424"/>
          <a:ext cx="248327" cy="64429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22455</xdr:colOff>
      <xdr:row>4</xdr:row>
      <xdr:rowOff>173490</xdr:rowOff>
    </xdr:from>
    <xdr:to>
      <xdr:col>16</xdr:col>
      <xdr:colOff>938897</xdr:colOff>
      <xdr:row>6</xdr:row>
      <xdr:rowOff>40817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9E8F28B5-7D97-4ECD-9AD0-55535484D320}"/>
            </a:ext>
          </a:extLst>
        </xdr:cNvPr>
        <xdr:cNvSpPr/>
      </xdr:nvSpPr>
      <xdr:spPr>
        <a:xfrm rot="16200000">
          <a:off x="12777112" y="610958"/>
          <a:ext cx="248327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120238</xdr:colOff>
      <xdr:row>47</xdr:row>
      <xdr:rowOff>34636</xdr:rowOff>
    </xdr:from>
    <xdr:to>
      <xdr:col>8</xdr:col>
      <xdr:colOff>519546</xdr:colOff>
      <xdr:row>53</xdr:row>
      <xdr:rowOff>155864</xdr:rowOff>
    </xdr:to>
    <xdr:sp macro="" textlink="">
      <xdr:nvSpPr>
        <xdr:cNvPr id="7" name="화살표: 아래쪽 6">
          <a:extLst>
            <a:ext uri="{FF2B5EF4-FFF2-40B4-BE49-F238E27FC236}">
              <a16:creationId xmlns:a16="http://schemas.microsoft.com/office/drawing/2014/main" id="{A8999EA6-9E3D-47EB-95B9-CAD3FE254DD8}"/>
            </a:ext>
          </a:extLst>
        </xdr:cNvPr>
        <xdr:cNvSpPr/>
      </xdr:nvSpPr>
      <xdr:spPr>
        <a:xfrm>
          <a:off x="6035263" y="9435811"/>
          <a:ext cx="399308" cy="90227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495059</xdr:colOff>
      <xdr:row>16</xdr:row>
      <xdr:rowOff>168477</xdr:rowOff>
    </xdr:from>
    <xdr:to>
      <xdr:col>18</xdr:col>
      <xdr:colOff>762000</xdr:colOff>
      <xdr:row>21</xdr:row>
      <xdr:rowOff>11192</xdr:rowOff>
    </xdr:to>
    <xdr:sp macro="" textlink="">
      <xdr:nvSpPr>
        <xdr:cNvPr id="8" name="화살표: 아래쪽 7">
          <a:extLst>
            <a:ext uri="{FF2B5EF4-FFF2-40B4-BE49-F238E27FC236}">
              <a16:creationId xmlns:a16="http://schemas.microsoft.com/office/drawing/2014/main" id="{7627EDFA-B493-4047-AACB-CC02911E666F}"/>
            </a:ext>
          </a:extLst>
        </xdr:cNvPr>
        <xdr:cNvSpPr/>
      </xdr:nvSpPr>
      <xdr:spPr>
        <a:xfrm>
          <a:off x="14886468" y="3389659"/>
          <a:ext cx="266941" cy="9164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s://xzhchemical.en.made-in-china.com/product/ZTRUpcdOnrYv/China-Low-Heavy-Metal-Content-Chemical-Magnesium-Oxide-MGO-96-Powder.html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beixings.en.made-in-china.com/product/MRkYaTHoHPhd/China-Electronics-Semiconductors-Cleaners-Raw-Material-Ethyl-Lactate-CAS-97-64-3.html?pv_id=1jaortlg262b&amp;faw_id=1jaorvdurad&amp;bv_id=1jaorvdusba8&amp;pbv_id=1jaortjs76e9j" TargetMode="External"/><Relationship Id="rId1" Type="http://schemas.openxmlformats.org/officeDocument/2006/relationships/hyperlink" Target="https://xzhchemical.en.made-in-china.com/product/ZTRUpcdOnrYv/China-Low-Heavy-Metal-Content-Chemical-Magnesium-Oxide-MGO-96-Powder.html" TargetMode="External"/><Relationship Id="rId6" Type="http://schemas.openxmlformats.org/officeDocument/2006/relationships/hyperlink" Target="https://beixings.en.made-in-china.com/product/MRkYaTHoHPhd/China-Electronics-Semiconductors-Cleaners-Raw-Material-Ethyl-Lactate-CAS-97-64-3.html?pv_id=1jaortlg262b&amp;faw_id=1jaorvdurad&amp;bv_id=1jaorvdusba8&amp;pbv_id=1jaortjs76e9j" TargetMode="External"/><Relationship Id="rId5" Type="http://schemas.openxmlformats.org/officeDocument/2006/relationships/hyperlink" Target="https://xzhchemical.en.made-in-china.com/product/ZTRUpcdOnrYv/China-Low-Heavy-Metal-Content-Chemical-Magnesium-Oxide-MGO-96-Powder.html" TargetMode="External"/><Relationship Id="rId4" Type="http://schemas.openxmlformats.org/officeDocument/2006/relationships/hyperlink" Target="https://beixings.en.made-in-china.com/product/MRkYaTHoHPhd/China-Electronics-Semiconductors-Cleaners-Raw-Material-Ethyl-Lactate-CAS-97-64-3.html?pv_id=1jaortlg262b&amp;faw_id=1jaorvdurad&amp;bv_id=1jaorvdusba8&amp;pbv_id=1jaortjs76e9j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kr.made-in-china.com/co_sincerechemical01/product_Industrial-Grade-Ammonia-Water-25-Ammonium-Hydroxide_uohhssyiry.html" TargetMode="External"/><Relationship Id="rId7" Type="http://schemas.openxmlformats.org/officeDocument/2006/relationships/hyperlink" Target="http://ycturbotech.com/sludge-2/" TargetMode="External"/><Relationship Id="rId2" Type="http://schemas.openxmlformats.org/officeDocument/2006/relationships/hyperlink" Target="https://www.alibaba.com/product-detail/Factory-Supply-Wastewater-Treatment-PAC-28_1601232516190.html?spm=a2700.prosearch.normal_offer.d_image.785667afk3E5Bm&amp;priceId=fb79310949174356bc80ae320748cda8" TargetMode="External"/><Relationship Id="rId1" Type="http://schemas.openxmlformats.org/officeDocument/2006/relationships/hyperlink" Target="https://kr.made-in-china.com/co_sincerechemical01/product_Industrial-Grade-Ammonia-Water-25-Ammonium-Hydroxide_uohhssyiry.html" TargetMode="External"/><Relationship Id="rId6" Type="http://schemas.openxmlformats.org/officeDocument/2006/relationships/hyperlink" Target="https://www.alibaba.com/product-detail/Factory-Supply-Wastewater-Treatment-PAC-28_1601232516190.html?spm=a2700.prosearch.normal_offer.d_image.785667afk3E5Bm&amp;priceId=fb79310949174356bc80ae320748cda8" TargetMode="External"/><Relationship Id="rId5" Type="http://schemas.openxmlformats.org/officeDocument/2006/relationships/hyperlink" Target="https://kr.made-in-china.com/co_sincerechemical01/product_Industrial-Grade-Ammonia-Water-25-Ammonium-Hydroxide_uohhssyiry.html" TargetMode="External"/><Relationship Id="rId4" Type="http://schemas.openxmlformats.org/officeDocument/2006/relationships/hyperlink" Target="https://www.alibaba.com/product-detail/Factory-Supply-Wastewater-Treatment-PAC-28_1601232516190.html?spm=a2700.prosearch.normal_offer.d_image.785667afk3E5Bm&amp;priceId=fb79310949174356bc80ae320748cda8" TargetMode="External"/><Relationship Id="rId9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1649-66D8-4C54-B8EE-D4B79448B011}">
  <dimension ref="B1:BJ153"/>
  <sheetViews>
    <sheetView tabSelected="1" zoomScaleNormal="100" workbookViewId="0">
      <selection activeCell="D3" sqref="D3"/>
    </sheetView>
  </sheetViews>
  <sheetFormatPr defaultRowHeight="15"/>
  <cols>
    <col min="1" max="1" width="4.75" style="9" customWidth="1"/>
    <col min="2" max="2" width="15" style="9" customWidth="1"/>
    <col min="3" max="3" width="24.375" style="9" customWidth="1"/>
    <col min="4" max="6" width="13.375" style="9" customWidth="1"/>
    <col min="7" max="7" width="9.625" style="12" customWidth="1"/>
    <col min="8" max="8" width="13.25" style="9" bestFit="1" customWidth="1"/>
    <col min="9" max="9" width="12.875" style="9" bestFit="1" customWidth="1"/>
    <col min="10" max="10" width="14.5" style="9" bestFit="1" customWidth="1"/>
    <col min="11" max="11" width="12" style="12" customWidth="1"/>
    <col min="12" max="12" width="12.5" style="9" bestFit="1" customWidth="1"/>
    <col min="13" max="13" width="14.875" style="9" bestFit="1" customWidth="1"/>
    <col min="14" max="14" width="10.625" style="9" customWidth="1"/>
    <col min="15" max="15" width="9.625" style="12" customWidth="1"/>
    <col min="16" max="16" width="10.5" style="9" bestFit="1" customWidth="1"/>
    <col min="17" max="17" width="14.125" style="9" bestFit="1" customWidth="1"/>
    <col min="18" max="18" width="10.75" style="9" bestFit="1" customWidth="1"/>
    <col min="19" max="19" width="15.625" style="9" customWidth="1"/>
    <col min="20" max="20" width="14.75" style="12" bestFit="1" customWidth="1"/>
    <col min="21" max="21" width="10.5" style="9" bestFit="1" customWidth="1"/>
    <col min="22" max="22" width="12.25" style="9" bestFit="1" customWidth="1"/>
    <col min="23" max="23" width="16" style="9" bestFit="1" customWidth="1"/>
    <col min="24" max="24" width="12.75" style="12" bestFit="1" customWidth="1"/>
    <col min="25" max="25" width="9.125" style="9" bestFit="1" customWidth="1"/>
    <col min="26" max="26" width="9" style="9"/>
    <col min="27" max="27" width="11.125" style="9" bestFit="1" customWidth="1"/>
    <col min="28" max="28" width="11.875" style="12" bestFit="1" customWidth="1"/>
    <col min="29" max="29" width="11.5" style="9" bestFit="1" customWidth="1"/>
    <col min="30" max="31" width="9" style="9"/>
    <col min="32" max="32" width="20.875" style="9" customWidth="1"/>
    <col min="33" max="35" width="9" style="9"/>
    <col min="36" max="36" width="9.625" style="9" bestFit="1" customWidth="1"/>
    <col min="37" max="37" width="9" style="9"/>
    <col min="38" max="38" width="15" style="9" customWidth="1"/>
    <col min="39" max="40" width="9" style="9"/>
    <col min="41" max="41" width="9.875" style="9" bestFit="1" customWidth="1"/>
    <col min="42" max="42" width="10.25" style="9" bestFit="1" customWidth="1"/>
    <col min="43" max="16384" width="9" style="9"/>
  </cols>
  <sheetData>
    <row r="1" spans="2:49">
      <c r="B1" s="8"/>
      <c r="C1" s="9" t="s">
        <v>176</v>
      </c>
      <c r="D1" s="11"/>
      <c r="E1" s="9" t="s">
        <v>104</v>
      </c>
      <c r="F1" s="119"/>
      <c r="G1" s="12" t="s">
        <v>194</v>
      </c>
      <c r="H1" s="13"/>
      <c r="I1" s="9" t="s">
        <v>192</v>
      </c>
      <c r="J1" s="287"/>
      <c r="K1" s="288"/>
      <c r="L1" s="9" t="s">
        <v>653</v>
      </c>
    </row>
    <row r="2" spans="2:49" s="10" customFormat="1">
      <c r="G2" s="14"/>
      <c r="J2" s="15"/>
      <c r="K2" s="14"/>
      <c r="O2" s="14"/>
      <c r="T2" s="14"/>
      <c r="X2" s="14"/>
      <c r="AB2" s="14"/>
    </row>
    <row r="3" spans="2:49">
      <c r="B3" s="16" t="s">
        <v>183</v>
      </c>
    </row>
    <row r="4" spans="2:49" ht="15.75" thickBot="1">
      <c r="B4" s="17" t="s">
        <v>185</v>
      </c>
      <c r="R4" s="49"/>
      <c r="S4" s="33"/>
      <c r="T4" s="32"/>
      <c r="U4" s="33"/>
      <c r="V4" s="33"/>
      <c r="W4" s="33"/>
      <c r="X4" s="32"/>
      <c r="Y4" s="33"/>
      <c r="Z4" s="33"/>
      <c r="AA4" s="33"/>
      <c r="AB4" s="32"/>
      <c r="AC4" s="33"/>
      <c r="AD4" s="33"/>
      <c r="AE4" s="33"/>
      <c r="AF4" s="17" t="s">
        <v>186</v>
      </c>
      <c r="AG4" s="33"/>
      <c r="AH4" s="33"/>
      <c r="AI4" s="33"/>
      <c r="AJ4" s="33"/>
      <c r="AK4" s="33"/>
      <c r="AL4" s="33"/>
      <c r="AM4" s="33"/>
      <c r="AN4" s="33"/>
      <c r="AO4" s="33"/>
    </row>
    <row r="5" spans="2:49">
      <c r="B5" s="18" t="s">
        <v>7</v>
      </c>
      <c r="C5" s="19"/>
      <c r="D5" s="19"/>
      <c r="E5" s="19"/>
      <c r="F5" s="20" t="s">
        <v>8</v>
      </c>
      <c r="G5" s="21"/>
      <c r="H5" s="19"/>
      <c r="I5" s="19"/>
      <c r="J5" s="20" t="s">
        <v>437</v>
      </c>
      <c r="K5" s="21"/>
      <c r="L5" s="19"/>
      <c r="M5" s="19"/>
      <c r="N5" s="19"/>
      <c r="O5" s="21"/>
      <c r="P5" s="19"/>
      <c r="Q5" s="19"/>
      <c r="R5" s="166"/>
      <c r="S5" s="250"/>
      <c r="T5" s="243"/>
      <c r="U5" s="154"/>
      <c r="V5" s="154"/>
      <c r="W5" s="154"/>
      <c r="X5" s="153"/>
      <c r="Y5" s="154"/>
      <c r="Z5" s="154"/>
      <c r="AA5" s="154"/>
      <c r="AB5" s="153"/>
      <c r="AC5" s="154"/>
      <c r="AD5" s="154"/>
      <c r="AE5" s="154"/>
      <c r="AF5" s="23" t="s">
        <v>626</v>
      </c>
      <c r="AG5" s="19"/>
      <c r="AH5" s="154"/>
      <c r="AI5" s="154"/>
      <c r="AJ5" s="154"/>
      <c r="AK5" s="154"/>
      <c r="AL5" s="154"/>
      <c r="AM5" s="154"/>
      <c r="AN5" s="154"/>
      <c r="AO5" s="154"/>
      <c r="AP5" s="19"/>
      <c r="AQ5" s="19"/>
      <c r="AR5" s="19"/>
      <c r="AS5" s="19"/>
      <c r="AT5" s="19"/>
      <c r="AU5" s="19"/>
      <c r="AV5" s="19"/>
      <c r="AW5" s="22"/>
    </row>
    <row r="6" spans="2:49" ht="16.5">
      <c r="B6" s="25"/>
      <c r="C6" s="26"/>
      <c r="D6" s="26"/>
      <c r="E6" s="26"/>
      <c r="F6" s="27" t="s">
        <v>436</v>
      </c>
      <c r="G6" s="28"/>
      <c r="H6" s="26"/>
      <c r="I6" s="26"/>
      <c r="J6" s="35" t="s">
        <v>138</v>
      </c>
      <c r="K6" s="28"/>
      <c r="L6" s="28"/>
      <c r="M6" s="36"/>
      <c r="N6" s="27"/>
      <c r="O6" s="27" t="s">
        <v>151</v>
      </c>
      <c r="P6" s="36"/>
      <c r="Q6" s="28"/>
      <c r="R6" s="247"/>
      <c r="S6" s="250"/>
      <c r="T6" s="244" t="s">
        <v>461</v>
      </c>
      <c r="U6" s="33"/>
      <c r="V6" s="33"/>
      <c r="W6" s="33"/>
      <c r="X6" s="32"/>
      <c r="Y6" s="33"/>
      <c r="Z6" s="33"/>
      <c r="AA6" s="33"/>
      <c r="AB6" s="32"/>
      <c r="AC6" s="33"/>
      <c r="AD6" s="26"/>
      <c r="AE6" s="26"/>
      <c r="AF6" s="27" t="s">
        <v>721</v>
      </c>
      <c r="AG6" s="26"/>
      <c r="AH6" s="26"/>
      <c r="AI6" s="26"/>
      <c r="AJ6" s="26"/>
      <c r="AK6" s="26"/>
      <c r="AL6" s="26"/>
      <c r="AM6" s="26"/>
      <c r="AN6" s="26"/>
      <c r="AO6" s="27" t="s">
        <v>713</v>
      </c>
      <c r="AP6" s="26"/>
      <c r="AQ6" s="26"/>
      <c r="AR6" s="26"/>
      <c r="AS6" s="26"/>
      <c r="AT6" s="26"/>
      <c r="AU6" s="26"/>
      <c r="AV6" s="26"/>
      <c r="AW6" s="29"/>
    </row>
    <row r="7" spans="2:49" ht="16.5">
      <c r="B7" s="31" t="s">
        <v>1</v>
      </c>
      <c r="C7" s="400">
        <v>22352</v>
      </c>
      <c r="D7" s="33" t="s">
        <v>4</v>
      </c>
      <c r="F7" s="26"/>
      <c r="G7" s="28"/>
      <c r="H7" s="26"/>
      <c r="I7" s="26"/>
      <c r="J7" s="26"/>
      <c r="K7" s="36" t="s">
        <v>139</v>
      </c>
      <c r="L7" s="28">
        <v>20</v>
      </c>
      <c r="M7" s="36" t="s">
        <v>12</v>
      </c>
      <c r="N7" s="26"/>
      <c r="O7" s="26"/>
      <c r="P7" s="36" t="s">
        <v>152</v>
      </c>
      <c r="Q7" s="28">
        <f>L10</f>
        <v>90</v>
      </c>
      <c r="R7" s="247" t="s">
        <v>198</v>
      </c>
      <c r="S7" s="251"/>
      <c r="T7" s="245" t="s">
        <v>1</v>
      </c>
      <c r="U7" s="32">
        <f>C7</f>
        <v>22352</v>
      </c>
      <c r="V7" s="33" t="s">
        <v>3</v>
      </c>
      <c r="W7" s="33"/>
      <c r="X7" s="32"/>
      <c r="Y7" s="33"/>
      <c r="Z7" s="33"/>
      <c r="AA7" s="33"/>
      <c r="AB7" s="32"/>
      <c r="AC7" s="33"/>
      <c r="AD7" s="26"/>
      <c r="AE7" s="26"/>
      <c r="AF7" s="26"/>
      <c r="AG7" s="26"/>
      <c r="AH7" s="26" t="s">
        <v>1</v>
      </c>
      <c r="AI7" s="26" t="s">
        <v>2</v>
      </c>
      <c r="AJ7" s="26"/>
      <c r="AK7" s="26"/>
      <c r="AL7" s="26"/>
      <c r="AM7" s="26"/>
      <c r="AN7" s="26"/>
      <c r="AO7" s="26"/>
      <c r="AP7" s="26"/>
      <c r="AQ7" s="26" t="s">
        <v>1</v>
      </c>
      <c r="AR7" s="26" t="s">
        <v>2</v>
      </c>
      <c r="AS7" s="26"/>
      <c r="AT7" s="26"/>
      <c r="AU7" s="26"/>
      <c r="AV7" s="26"/>
      <c r="AW7" s="29"/>
    </row>
    <row r="8" spans="2:49" ht="16.5">
      <c r="B8" s="31"/>
      <c r="C8" s="32">
        <f>C7/24</f>
        <v>931.33333333333337</v>
      </c>
      <c r="D8" s="33" t="s">
        <v>6</v>
      </c>
      <c r="E8" s="96"/>
      <c r="F8" s="36" t="s">
        <v>18</v>
      </c>
      <c r="G8" s="28">
        <v>4</v>
      </c>
      <c r="H8" s="26" t="s">
        <v>10</v>
      </c>
      <c r="I8" s="26"/>
      <c r="J8" s="26"/>
      <c r="K8" s="38" t="s">
        <v>146</v>
      </c>
      <c r="L8" s="39">
        <f>(C10*C15/100)-(C10*(1-C15/100)*L7/100)</f>
        <v>49903.251200000006</v>
      </c>
      <c r="M8" s="38" t="s">
        <v>20</v>
      </c>
      <c r="N8" s="36"/>
      <c r="O8" s="26"/>
      <c r="P8" s="36" t="s">
        <v>153</v>
      </c>
      <c r="Q8" s="28">
        <v>20</v>
      </c>
      <c r="R8" s="247" t="s">
        <v>198</v>
      </c>
      <c r="S8" s="251"/>
      <c r="T8" s="246"/>
      <c r="U8" s="32">
        <f>U7/24</f>
        <v>931.33333333333337</v>
      </c>
      <c r="V8" s="33" t="s">
        <v>6</v>
      </c>
      <c r="W8" s="49"/>
      <c r="X8" s="121"/>
      <c r="Y8" s="49"/>
      <c r="Z8" s="33"/>
      <c r="AA8" s="3"/>
      <c r="AB8" s="32"/>
      <c r="AC8" s="49"/>
      <c r="AD8" s="26"/>
      <c r="AE8" s="26"/>
      <c r="AF8" s="205" t="s">
        <v>718</v>
      </c>
      <c r="AG8" s="26" t="s">
        <v>476</v>
      </c>
      <c r="AH8" s="26">
        <f>(8.89*X17+26.7*Y17-3.33*Z17+3.33*AB17)/100</f>
        <v>4.4616800000000003</v>
      </c>
      <c r="AI8" s="26">
        <f>(8.89*X18+26.7*Y18-3.33*Z18+3.33*AB18)/100</f>
        <v>4.6466508000000006</v>
      </c>
      <c r="AJ8" s="187" t="s">
        <v>468</v>
      </c>
      <c r="AK8" s="26" t="s">
        <v>478</v>
      </c>
      <c r="AL8" s="26"/>
      <c r="AM8" s="26"/>
      <c r="AN8" s="26"/>
      <c r="AO8" s="205" t="s">
        <v>705</v>
      </c>
      <c r="AP8" s="26" t="s">
        <v>489</v>
      </c>
      <c r="AQ8" s="26">
        <f>8100*X17/100+34000*((Y17/100)-((Z17/100)/8))+2500*(AB17/100)</f>
        <v>4067</v>
      </c>
      <c r="AR8" s="26">
        <f>8100*X19/100+34000*((Y19/100)-((Z19/100)/8))+2500*(AB19/100)</f>
        <v>4426.9250000000002</v>
      </c>
      <c r="AS8" s="26" t="s">
        <v>160</v>
      </c>
      <c r="AT8" s="26" t="s">
        <v>491</v>
      </c>
      <c r="AU8" s="26"/>
      <c r="AV8" s="26"/>
      <c r="AW8" s="29"/>
    </row>
    <row r="9" spans="2:49" ht="17.25" thickBot="1">
      <c r="B9" s="34"/>
      <c r="C9" s="96">
        <f>C7/SUM(C7,C10)</f>
        <v>0.24914173614516921</v>
      </c>
      <c r="D9" s="9" t="s">
        <v>778</v>
      </c>
      <c r="E9" s="96"/>
      <c r="F9" s="49"/>
      <c r="G9" s="32"/>
      <c r="H9" s="33"/>
      <c r="I9" s="26"/>
      <c r="J9" s="26"/>
      <c r="K9" s="38"/>
      <c r="L9" s="41">
        <f>L8/24</f>
        <v>2079.3021333333336</v>
      </c>
      <c r="M9" s="42" t="s">
        <v>147</v>
      </c>
      <c r="N9" s="36"/>
      <c r="O9" s="26"/>
      <c r="P9" s="36" t="s">
        <v>154</v>
      </c>
      <c r="Q9" s="28">
        <v>12</v>
      </c>
      <c r="R9" s="247" t="s">
        <v>198</v>
      </c>
      <c r="S9" s="251"/>
      <c r="T9" s="245" t="s">
        <v>470</v>
      </c>
      <c r="U9" s="32">
        <f>(C10*(1-C15/100))</f>
        <v>14550.623999999998</v>
      </c>
      <c r="V9" s="33" t="s">
        <v>3</v>
      </c>
      <c r="W9" s="49"/>
      <c r="X9" s="121"/>
      <c r="Y9" s="49"/>
      <c r="Z9" s="33"/>
      <c r="AA9" s="3"/>
      <c r="AB9" s="32"/>
      <c r="AC9" s="49"/>
      <c r="AD9" s="26"/>
      <c r="AE9" s="26"/>
      <c r="AF9" s="205" t="s">
        <v>719</v>
      </c>
      <c r="AG9" s="26" t="s">
        <v>477</v>
      </c>
      <c r="AH9" s="26">
        <v>1.8</v>
      </c>
      <c r="AI9" s="26">
        <v>2</v>
      </c>
      <c r="AJ9" s="187"/>
      <c r="AK9" s="26"/>
      <c r="AL9" s="26"/>
      <c r="AM9" s="26"/>
      <c r="AN9" s="26"/>
      <c r="AO9" s="1" t="s">
        <v>706</v>
      </c>
      <c r="AP9" s="26" t="s">
        <v>490</v>
      </c>
      <c r="AQ9" s="26">
        <f>AQ8-600*(9*(Y17/100)+(U17/100))</f>
        <v>3764.6</v>
      </c>
      <c r="AR9" s="26">
        <f>AR8-600*(9*(Y19/100)+(U19/100))</f>
        <v>3909.8090000000002</v>
      </c>
      <c r="AS9" s="26" t="s">
        <v>160</v>
      </c>
      <c r="AT9" s="26" t="s">
        <v>492</v>
      </c>
      <c r="AU9" s="26"/>
      <c r="AV9" s="26"/>
      <c r="AW9" s="29"/>
    </row>
    <row r="10" spans="2:49" ht="17.25" thickBot="1">
      <c r="B10" s="31" t="s">
        <v>2</v>
      </c>
      <c r="C10" s="400">
        <v>67364</v>
      </c>
      <c r="D10" s="33" t="s">
        <v>4</v>
      </c>
      <c r="E10" s="26"/>
      <c r="F10" s="50" t="s">
        <v>104</v>
      </c>
      <c r="G10" s="51">
        <f>36*2+(50*3.6)</f>
        <v>252</v>
      </c>
      <c r="H10" s="52" t="s">
        <v>109</v>
      </c>
      <c r="I10" s="26"/>
      <c r="J10" s="26"/>
      <c r="K10" s="36" t="s">
        <v>140</v>
      </c>
      <c r="L10" s="400">
        <v>90</v>
      </c>
      <c r="M10" s="36" t="s">
        <v>198</v>
      </c>
      <c r="N10" s="49"/>
      <c r="O10" s="26"/>
      <c r="P10" s="36"/>
      <c r="Q10" s="28"/>
      <c r="R10" s="247"/>
      <c r="S10" s="251"/>
      <c r="T10" s="246"/>
      <c r="U10" s="32">
        <f>U9/24</f>
        <v>606.27599999999995</v>
      </c>
      <c r="V10" s="33" t="s">
        <v>6</v>
      </c>
      <c r="W10" s="49"/>
      <c r="X10" s="121"/>
      <c r="Y10" s="49"/>
      <c r="Z10" s="33"/>
      <c r="AA10" s="123"/>
      <c r="AB10" s="124"/>
      <c r="AC10" s="123"/>
      <c r="AD10" s="26"/>
      <c r="AE10" s="26"/>
      <c r="AF10" s="205" t="s">
        <v>720</v>
      </c>
      <c r="AG10" s="26" t="s">
        <v>479</v>
      </c>
      <c r="AH10" s="26">
        <f>AH8*AH9</f>
        <v>8.0310240000000004</v>
      </c>
      <c r="AI10" s="26">
        <f>AI8*AI9</f>
        <v>9.2933016000000013</v>
      </c>
      <c r="AJ10" s="187" t="s">
        <v>468</v>
      </c>
      <c r="AK10" s="26" t="s">
        <v>480</v>
      </c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9"/>
    </row>
    <row r="11" spans="2:49">
      <c r="B11" s="31"/>
      <c r="C11" s="32">
        <f>C10/24</f>
        <v>2806.8333333333335</v>
      </c>
      <c r="D11" s="33" t="s">
        <v>5</v>
      </c>
      <c r="E11" s="26"/>
      <c r="F11" s="49"/>
      <c r="G11" s="32"/>
      <c r="H11" s="33"/>
      <c r="I11" s="26"/>
      <c r="J11" s="26"/>
      <c r="K11" s="43" t="s">
        <v>141</v>
      </c>
      <c r="L11" s="44">
        <f>C23</f>
        <v>60</v>
      </c>
      <c r="M11" s="43" t="s">
        <v>12</v>
      </c>
      <c r="N11" s="49"/>
      <c r="O11" s="26"/>
      <c r="P11" s="300" t="s">
        <v>659</v>
      </c>
      <c r="Q11" s="28">
        <f>2300*0.239</f>
        <v>549.69999999999993</v>
      </c>
      <c r="R11" s="247" t="s">
        <v>159</v>
      </c>
      <c r="S11" s="251"/>
      <c r="T11" s="245" t="s">
        <v>471</v>
      </c>
      <c r="U11" s="195">
        <f>U9*L7/100</f>
        <v>2910.1247999999996</v>
      </c>
      <c r="V11" s="33" t="s">
        <v>3</v>
      </c>
      <c r="W11" s="49"/>
      <c r="X11" s="32"/>
      <c r="Y11" s="49"/>
      <c r="Z11" s="33"/>
      <c r="AA11" s="3"/>
      <c r="AB11" s="32"/>
      <c r="AC11" s="3"/>
      <c r="AD11" s="33"/>
      <c r="AE11" s="33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9"/>
    </row>
    <row r="12" spans="2:49">
      <c r="B12" s="34"/>
      <c r="C12" s="96">
        <f>C10/SUM(C10,C7)</f>
        <v>0.75085826385483079</v>
      </c>
      <c r="D12" s="9" t="s">
        <v>778</v>
      </c>
      <c r="E12" s="26"/>
      <c r="F12" s="36"/>
      <c r="G12" s="28"/>
      <c r="H12" s="26"/>
      <c r="I12" s="26"/>
      <c r="J12" s="26"/>
      <c r="K12" s="36"/>
      <c r="L12" s="28"/>
      <c r="M12" s="36"/>
      <c r="N12" s="49"/>
      <c r="O12" s="299" t="s">
        <v>660</v>
      </c>
      <c r="P12" s="72" t="s">
        <v>156</v>
      </c>
      <c r="Q12" s="73" t="s">
        <v>158</v>
      </c>
      <c r="R12" s="248"/>
      <c r="S12" s="251"/>
      <c r="T12" s="245"/>
      <c r="U12" s="32">
        <f>U11/24</f>
        <v>121.25519999999999</v>
      </c>
      <c r="V12" s="33" t="s">
        <v>6</v>
      </c>
      <c r="W12" s="3"/>
      <c r="X12" s="32"/>
      <c r="Y12" s="3"/>
      <c r="Z12" s="33"/>
      <c r="AA12" s="3"/>
      <c r="AB12" s="32"/>
      <c r="AC12" s="3"/>
      <c r="AD12" s="33"/>
      <c r="AE12" s="33"/>
      <c r="AF12" s="27" t="s">
        <v>722</v>
      </c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9"/>
    </row>
    <row r="13" spans="2:49" ht="16.5">
      <c r="B13" s="31" t="s">
        <v>17</v>
      </c>
      <c r="C13" s="400">
        <v>1.33</v>
      </c>
      <c r="D13" s="33" t="s">
        <v>19</v>
      </c>
      <c r="E13" s="26"/>
      <c r="F13" s="36"/>
      <c r="G13" s="26"/>
      <c r="H13" s="26"/>
      <c r="I13" s="26"/>
      <c r="J13" s="299" t="s">
        <v>658</v>
      </c>
      <c r="K13" s="36" t="s">
        <v>142</v>
      </c>
      <c r="L13" s="28">
        <v>1</v>
      </c>
      <c r="M13" s="36" t="s">
        <v>199</v>
      </c>
      <c r="N13" s="49"/>
      <c r="O13" s="299" t="s">
        <v>658</v>
      </c>
      <c r="P13" s="36" t="s">
        <v>157</v>
      </c>
      <c r="Q13" s="28">
        <v>1</v>
      </c>
      <c r="R13" s="247" t="s">
        <v>144</v>
      </c>
      <c r="S13" s="251"/>
      <c r="T13" s="245"/>
      <c r="U13" s="49"/>
      <c r="V13" s="33"/>
      <c r="W13" s="3"/>
      <c r="X13" s="32"/>
      <c r="Y13" s="49"/>
      <c r="Z13" s="33"/>
      <c r="AA13" s="3"/>
      <c r="AB13" s="32"/>
      <c r="AC13" s="3"/>
      <c r="AD13" s="33"/>
      <c r="AE13" s="33"/>
      <c r="AF13" s="128" t="s">
        <v>723</v>
      </c>
      <c r="AG13" s="26"/>
      <c r="AH13" s="26" t="s">
        <v>1</v>
      </c>
      <c r="AI13" s="26" t="s">
        <v>2</v>
      </c>
      <c r="AJ13" s="26"/>
      <c r="AK13" s="33"/>
      <c r="AL13" s="33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9"/>
    </row>
    <row r="14" spans="2:49">
      <c r="B14" s="31" t="s">
        <v>15</v>
      </c>
      <c r="C14" s="400">
        <v>0.87</v>
      </c>
      <c r="D14" s="33" t="s">
        <v>16</v>
      </c>
      <c r="E14" s="26"/>
      <c r="F14" s="36"/>
      <c r="G14" s="28"/>
      <c r="H14" s="26"/>
      <c r="I14" s="26"/>
      <c r="J14" s="300" t="s">
        <v>659</v>
      </c>
      <c r="K14" s="36" t="s">
        <v>143</v>
      </c>
      <c r="L14" s="28">
        <f>2283*0.239006</f>
        <v>545.65069800000003</v>
      </c>
      <c r="M14" s="36" t="s">
        <v>145</v>
      </c>
      <c r="N14" s="49" t="s">
        <v>438</v>
      </c>
      <c r="O14" s="26"/>
      <c r="P14" s="36"/>
      <c r="Q14" s="28"/>
      <c r="R14" s="247"/>
      <c r="S14" s="251"/>
      <c r="T14" s="245"/>
      <c r="U14" s="49"/>
      <c r="V14" s="33"/>
      <c r="W14" s="3"/>
      <c r="X14" s="32"/>
      <c r="Y14" s="49"/>
      <c r="Z14" s="33"/>
      <c r="AA14" s="3"/>
      <c r="AB14" s="32"/>
      <c r="AC14" s="3"/>
      <c r="AD14" s="33"/>
      <c r="AE14" s="33"/>
      <c r="AF14" s="187" t="s">
        <v>714</v>
      </c>
      <c r="AG14" s="26" t="s">
        <v>481</v>
      </c>
      <c r="AH14" s="207">
        <f>(8.867*X17+32.3*Y17+3.33*AB17-0.8*AA17-2.63*Z17+1.244*U17)/100</f>
        <v>5.0745800000000001</v>
      </c>
      <c r="AI14" s="207">
        <f>(8.867*X19+32.3*Y19+3.33*AB19-0.8*AA19-2.63*Z19+1.244*U19)/100</f>
        <v>5.5638126000000012</v>
      </c>
      <c r="AJ14" s="187" t="s">
        <v>468</v>
      </c>
      <c r="AK14" s="26" t="s">
        <v>485</v>
      </c>
      <c r="AL14" s="33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9"/>
    </row>
    <row r="15" spans="2:49" ht="16.5">
      <c r="B15" s="31" t="s">
        <v>21</v>
      </c>
      <c r="C15" s="400">
        <v>78.400000000000006</v>
      </c>
      <c r="D15" s="33" t="s">
        <v>12</v>
      </c>
      <c r="E15" s="26"/>
      <c r="F15" s="36"/>
      <c r="G15" s="28"/>
      <c r="H15" s="26"/>
      <c r="I15" s="26"/>
      <c r="J15" s="26"/>
      <c r="K15" s="36"/>
      <c r="L15" s="28"/>
      <c r="M15" s="36"/>
      <c r="N15" s="49"/>
      <c r="O15" s="26"/>
      <c r="P15" s="36" t="s">
        <v>690</v>
      </c>
      <c r="Q15" s="28">
        <f>(Q7-Q8)*Q13+Q11</f>
        <v>619.69999999999993</v>
      </c>
      <c r="R15" s="247" t="s">
        <v>160</v>
      </c>
      <c r="S15" s="251"/>
      <c r="T15" s="304"/>
      <c r="U15" s="389" t="s">
        <v>664</v>
      </c>
      <c r="V15" s="389"/>
      <c r="W15" s="389"/>
      <c r="X15" s="390" t="s">
        <v>665</v>
      </c>
      <c r="Y15" s="391"/>
      <c r="Z15" s="391"/>
      <c r="AA15" s="391"/>
      <c r="AB15" s="391"/>
      <c r="AC15" s="391"/>
      <c r="AD15" s="33"/>
      <c r="AE15" s="33"/>
      <c r="AF15" s="187" t="s">
        <v>715</v>
      </c>
      <c r="AG15" s="26" t="s">
        <v>482</v>
      </c>
      <c r="AH15" s="207">
        <f>(8.867*X17+21.1*Y17+3.33*AB17+0.8*AA17-2.63*Z17)/100</f>
        <v>4.4473799999999999</v>
      </c>
      <c r="AI15" s="207">
        <f>(8.867*X19+21.1*Y19+3.33*AB19+0.8*AA19-2.63*Z19)/100</f>
        <v>4.5536046000000008</v>
      </c>
      <c r="AJ15" s="187" t="s">
        <v>468</v>
      </c>
      <c r="AK15" s="26" t="s">
        <v>486</v>
      </c>
      <c r="AL15" s="33"/>
      <c r="AM15" s="26"/>
      <c r="AN15" s="26"/>
      <c r="AO15" s="33"/>
      <c r="AP15" s="26"/>
      <c r="AQ15" s="26"/>
      <c r="AR15" s="26"/>
      <c r="AS15" s="26"/>
      <c r="AT15" s="26"/>
      <c r="AU15" s="26"/>
      <c r="AV15" s="26"/>
      <c r="AW15" s="29"/>
    </row>
    <row r="16" spans="2:49" ht="15.75" thickBot="1">
      <c r="B16" s="31" t="s">
        <v>22</v>
      </c>
      <c r="C16" s="400">
        <v>0.27500000000000002</v>
      </c>
      <c r="D16" s="33" t="s">
        <v>121</v>
      </c>
      <c r="E16" s="26"/>
      <c r="F16" s="26"/>
      <c r="G16" s="28"/>
      <c r="H16" s="26"/>
      <c r="I16" s="26"/>
      <c r="J16" s="26"/>
      <c r="K16" s="36" t="s">
        <v>727</v>
      </c>
      <c r="L16" s="6">
        <f>L9*((L13*(L10-C18))+L14)/(L11/100)</f>
        <v>2159530.9595659268</v>
      </c>
      <c r="M16" s="36" t="s">
        <v>149</v>
      </c>
      <c r="N16" s="49"/>
      <c r="O16" s="26"/>
      <c r="P16" s="36" t="s">
        <v>161</v>
      </c>
      <c r="Q16" s="28">
        <f>Q15*L8</f>
        <v>30925044.76864</v>
      </c>
      <c r="R16" s="247" t="s">
        <v>103</v>
      </c>
      <c r="S16" s="251"/>
      <c r="T16" s="302"/>
      <c r="U16" s="303" t="s">
        <v>474</v>
      </c>
      <c r="V16" s="303" t="s">
        <v>475</v>
      </c>
      <c r="W16" s="81" t="s">
        <v>666</v>
      </c>
      <c r="X16" s="76" t="s">
        <v>420</v>
      </c>
      <c r="Y16" s="77" t="s">
        <v>439</v>
      </c>
      <c r="Z16" s="81" t="s">
        <v>440</v>
      </c>
      <c r="AA16" s="81" t="s">
        <v>421</v>
      </c>
      <c r="AB16" s="81" t="s">
        <v>441</v>
      </c>
      <c r="AC16" s="77" t="s">
        <v>442</v>
      </c>
      <c r="AD16" s="33"/>
      <c r="AE16" s="33"/>
      <c r="AF16" s="187" t="s">
        <v>716</v>
      </c>
      <c r="AG16" s="26" t="s">
        <v>483</v>
      </c>
      <c r="AH16" s="207">
        <f>(AH9-1)*AH8+AH14</f>
        <v>8.6439240000000002</v>
      </c>
      <c r="AI16" s="207">
        <f>(AI9-1)*AI8+AI14</f>
        <v>10.210463400000002</v>
      </c>
      <c r="AJ16" s="187" t="s">
        <v>468</v>
      </c>
      <c r="AK16" s="33" t="s">
        <v>487</v>
      </c>
      <c r="AL16" s="33"/>
      <c r="AM16" s="33"/>
      <c r="AN16" s="33"/>
      <c r="AO16" s="33"/>
      <c r="AP16" s="26"/>
      <c r="AQ16" s="26"/>
      <c r="AR16" s="26"/>
      <c r="AS16" s="26"/>
      <c r="AT16" s="26"/>
      <c r="AU16" s="26"/>
      <c r="AV16" s="26"/>
      <c r="AW16" s="29"/>
    </row>
    <row r="17" spans="2:62" ht="15.75" thickBot="1">
      <c r="B17" s="31" t="s">
        <v>23</v>
      </c>
      <c r="C17" s="400">
        <v>0.24199999999999999</v>
      </c>
      <c r="D17" s="33" t="s">
        <v>122</v>
      </c>
      <c r="E17" s="26"/>
      <c r="F17" s="33"/>
      <c r="G17" s="32"/>
      <c r="H17" s="33"/>
      <c r="I17" s="26"/>
      <c r="J17" s="26"/>
      <c r="K17" s="53" t="s">
        <v>194</v>
      </c>
      <c r="L17" s="54">
        <f>L16*24*0.004184</f>
        <v>216851.46083577213</v>
      </c>
      <c r="M17" s="55" t="s">
        <v>109</v>
      </c>
      <c r="N17" s="49"/>
      <c r="O17" s="26"/>
      <c r="P17" s="47" t="s">
        <v>661</v>
      </c>
      <c r="Q17" s="44">
        <f>C22</f>
        <v>60</v>
      </c>
      <c r="R17" s="249" t="s">
        <v>12</v>
      </c>
      <c r="S17" s="251"/>
      <c r="T17" s="169" t="s">
        <v>0</v>
      </c>
      <c r="U17" s="409">
        <v>0</v>
      </c>
      <c r="V17" s="409">
        <v>0.4</v>
      </c>
      <c r="W17" s="409">
        <v>99.6</v>
      </c>
      <c r="X17" s="409">
        <v>50</v>
      </c>
      <c r="Y17" s="409">
        <v>5.6</v>
      </c>
      <c r="Z17" s="409">
        <v>44.4</v>
      </c>
      <c r="AA17" s="409">
        <v>0</v>
      </c>
      <c r="AB17" s="409">
        <v>0</v>
      </c>
      <c r="AC17" s="409">
        <v>0</v>
      </c>
      <c r="AD17" s="33"/>
      <c r="AE17" s="33"/>
      <c r="AF17" s="187" t="s">
        <v>717</v>
      </c>
      <c r="AG17" s="26" t="s">
        <v>484</v>
      </c>
      <c r="AH17" s="207">
        <f>(AH9-1)*AH8+AH15</f>
        <v>8.016724</v>
      </c>
      <c r="AI17" s="207">
        <f>(AI9-1)*AI8+AI15</f>
        <v>9.2002554000000014</v>
      </c>
      <c r="AJ17" s="187" t="s">
        <v>468</v>
      </c>
      <c r="AK17" s="33" t="s">
        <v>488</v>
      </c>
      <c r="AL17" s="33"/>
      <c r="AM17" s="33"/>
      <c r="AN17" s="33"/>
      <c r="AO17" s="33"/>
      <c r="AP17" s="26"/>
      <c r="AQ17" s="26"/>
      <c r="AR17" s="26"/>
      <c r="AS17" s="26"/>
      <c r="AT17" s="26"/>
      <c r="AU17" s="26"/>
      <c r="AV17" s="26"/>
      <c r="AW17" s="29"/>
    </row>
    <row r="18" spans="2:62" ht="15.75" thickBot="1">
      <c r="B18" s="25" t="s">
        <v>148</v>
      </c>
      <c r="C18" s="400">
        <v>12.5</v>
      </c>
      <c r="D18" s="26"/>
      <c r="E18" s="26"/>
      <c r="F18" s="33"/>
      <c r="G18" s="32"/>
      <c r="H18" s="33"/>
      <c r="I18" s="26"/>
      <c r="J18" s="26"/>
      <c r="K18" s="36"/>
      <c r="L18" s="28"/>
      <c r="M18" s="36"/>
      <c r="N18" s="49"/>
      <c r="O18" s="26"/>
      <c r="P18" s="49" t="s">
        <v>691</v>
      </c>
      <c r="Q18" s="32">
        <f>Q16/(Q17/100)</f>
        <v>51541741.281066671</v>
      </c>
      <c r="R18" s="218" t="s">
        <v>103</v>
      </c>
      <c r="S18" s="251"/>
      <c r="T18" s="206" t="s">
        <v>472</v>
      </c>
      <c r="U18" s="409">
        <v>74.060079350085019</v>
      </c>
      <c r="V18" s="409">
        <v>3.0795390137917997</v>
      </c>
      <c r="W18" s="409">
        <v>22.860381636123179</v>
      </c>
      <c r="X18" s="409">
        <v>46.14</v>
      </c>
      <c r="Y18" s="409">
        <v>7.354000000000001</v>
      </c>
      <c r="Z18" s="409">
        <v>42.61</v>
      </c>
      <c r="AA18" s="409">
        <v>3.8899999999999997</v>
      </c>
      <c r="AB18" s="409">
        <v>6.0000000000000001E-3</v>
      </c>
      <c r="AC18" s="409">
        <v>0.55400000000000005</v>
      </c>
      <c r="AD18" s="33"/>
      <c r="AE18" s="33"/>
      <c r="AF18" s="33"/>
      <c r="AG18" s="26"/>
      <c r="AH18" s="207"/>
      <c r="AI18" s="207"/>
      <c r="AJ18" s="26"/>
      <c r="AK18" s="33"/>
      <c r="AL18" s="33"/>
      <c r="AM18" s="33"/>
      <c r="AN18" s="33"/>
      <c r="AO18" s="33"/>
      <c r="AP18" s="26"/>
      <c r="AQ18" s="26"/>
      <c r="AR18" s="26"/>
      <c r="AS18" s="26"/>
      <c r="AT18" s="26"/>
      <c r="AU18" s="26"/>
      <c r="AV18" s="26"/>
      <c r="AW18" s="29"/>
    </row>
    <row r="19" spans="2:62" ht="15.75" thickBot="1">
      <c r="B19" s="34"/>
      <c r="C19" s="26"/>
      <c r="D19" s="26"/>
      <c r="E19" s="26"/>
      <c r="F19" s="33"/>
      <c r="G19" s="32"/>
      <c r="H19" s="33"/>
      <c r="I19" s="26"/>
      <c r="J19" s="26"/>
      <c r="K19" s="36" t="s">
        <v>150</v>
      </c>
      <c r="L19" s="28">
        <f>L16/100</f>
        <v>21595.30959565927</v>
      </c>
      <c r="M19" s="36" t="s">
        <v>149</v>
      </c>
      <c r="N19" s="49"/>
      <c r="O19" s="26"/>
      <c r="P19" s="50" t="s">
        <v>104</v>
      </c>
      <c r="Q19" s="51">
        <f>Q18*0.004184</f>
        <v>215650.64551998297</v>
      </c>
      <c r="R19" s="58" t="s">
        <v>109</v>
      </c>
      <c r="S19" s="251"/>
      <c r="T19" s="306" t="s">
        <v>473</v>
      </c>
      <c r="U19" s="411">
        <f>L7</f>
        <v>20</v>
      </c>
      <c r="V19" s="405">
        <f>V18/(100-U18)*(100-L7)</f>
        <v>9.4974508375819351</v>
      </c>
      <c r="W19" s="411">
        <f>W18/(100-U18)*(100-L7)</f>
        <v>70.502549162418063</v>
      </c>
      <c r="X19" s="411">
        <v>46.14</v>
      </c>
      <c r="Y19" s="411">
        <v>7.354000000000001</v>
      </c>
      <c r="Z19" s="411">
        <v>42.61</v>
      </c>
      <c r="AA19" s="411">
        <v>3.8899999999999997</v>
      </c>
      <c r="AB19" s="411">
        <v>6.0000000000000001E-3</v>
      </c>
      <c r="AC19" s="411">
        <v>0.55400000000000005</v>
      </c>
      <c r="AD19" s="49"/>
      <c r="AE19" s="33"/>
      <c r="AF19" s="26" t="s">
        <v>724</v>
      </c>
      <c r="AG19" s="26"/>
      <c r="AH19" s="26"/>
      <c r="AI19" s="26"/>
      <c r="AJ19" s="26"/>
      <c r="AK19" s="33"/>
      <c r="AL19" s="33" t="s">
        <v>725</v>
      </c>
      <c r="AM19" s="33"/>
      <c r="AN19" s="33"/>
      <c r="AO19" s="33"/>
      <c r="AP19" s="26"/>
      <c r="AQ19" s="26"/>
      <c r="AR19" s="26"/>
      <c r="AS19" s="26"/>
      <c r="AT19" s="26"/>
      <c r="AU19" s="26"/>
      <c r="AV19" s="26"/>
      <c r="AW19" s="29"/>
    </row>
    <row r="20" spans="2:62" ht="15.75" thickBot="1">
      <c r="B20" s="253" t="s">
        <v>631</v>
      </c>
      <c r="C20" s="26" t="s">
        <v>632</v>
      </c>
      <c r="D20" s="26"/>
      <c r="E20" s="26"/>
      <c r="F20" s="26"/>
      <c r="G20" s="28"/>
      <c r="H20" s="26"/>
      <c r="I20" s="26"/>
      <c r="K20" s="50" t="s">
        <v>104</v>
      </c>
      <c r="L20" s="51">
        <f>L19*24*0.004184</f>
        <v>2168.514608357721</v>
      </c>
      <c r="M20" s="52" t="s">
        <v>109</v>
      </c>
      <c r="N20" s="49"/>
      <c r="O20" s="32"/>
      <c r="P20" s="33"/>
      <c r="Q20" s="26"/>
      <c r="R20" s="168"/>
      <c r="S20" s="251"/>
      <c r="T20" s="245"/>
      <c r="U20" s="49" t="s">
        <v>663</v>
      </c>
      <c r="V20" s="33"/>
      <c r="W20" s="49"/>
      <c r="X20" s="32"/>
      <c r="Y20" s="49"/>
      <c r="Z20" s="33"/>
      <c r="AA20" s="33"/>
      <c r="AB20" s="33"/>
      <c r="AC20" s="49"/>
      <c r="AD20" s="33"/>
      <c r="AE20" s="33"/>
      <c r="AF20" s="187"/>
      <c r="AG20" s="187"/>
      <c r="AH20" s="26" t="s">
        <v>1</v>
      </c>
      <c r="AI20" s="26" t="s">
        <v>2</v>
      </c>
      <c r="AJ20" s="187"/>
      <c r="AK20" s="33"/>
      <c r="AL20" s="33"/>
      <c r="AM20" s="33"/>
      <c r="AN20" s="26" t="s">
        <v>1</v>
      </c>
      <c r="AO20" s="26" t="s">
        <v>2</v>
      </c>
      <c r="AP20" s="26" t="s">
        <v>310</v>
      </c>
      <c r="AQ20" s="26" t="s">
        <v>498</v>
      </c>
      <c r="AR20" s="26"/>
      <c r="AS20" s="26"/>
      <c r="AT20" s="26"/>
      <c r="AU20" s="26"/>
      <c r="AV20" s="26"/>
      <c r="AW20" s="29"/>
    </row>
    <row r="21" spans="2:62" ht="18">
      <c r="B21" s="254" t="s">
        <v>635</v>
      </c>
      <c r="C21" s="401">
        <v>1.3</v>
      </c>
      <c r="D21" s="255"/>
      <c r="E21" s="259" t="s">
        <v>634</v>
      </c>
      <c r="F21" s="403">
        <v>86</v>
      </c>
      <c r="G21" s="255" t="s">
        <v>638</v>
      </c>
      <c r="H21" s="356" t="s">
        <v>648</v>
      </c>
      <c r="I21" s="424">
        <v>30</v>
      </c>
      <c r="J21" s="357" t="s">
        <v>638</v>
      </c>
      <c r="K21" s="36"/>
      <c r="L21" s="35" t="s">
        <v>815</v>
      </c>
      <c r="M21" s="32"/>
      <c r="N21" s="33"/>
      <c r="O21" s="33"/>
      <c r="R21" s="168"/>
      <c r="S21" s="251"/>
      <c r="T21" s="245"/>
      <c r="U21" s="33"/>
      <c r="V21" s="26"/>
      <c r="W21" s="3"/>
      <c r="X21" s="32"/>
      <c r="Y21" s="3"/>
      <c r="Z21" s="33"/>
      <c r="AA21" s="49"/>
      <c r="AB21" s="32"/>
      <c r="AC21" s="49"/>
      <c r="AD21" s="33"/>
      <c r="AE21" s="33"/>
      <c r="AF21" s="187"/>
      <c r="AG21" s="187" t="s">
        <v>667</v>
      </c>
      <c r="AH21" s="207">
        <f>1.867*X17/100</f>
        <v>0.9335</v>
      </c>
      <c r="AI21" s="207">
        <f>1.867*X19/100</f>
        <v>0.86143380000000003</v>
      </c>
      <c r="AJ21" s="187" t="s">
        <v>468</v>
      </c>
      <c r="AK21" s="33"/>
      <c r="AL21" s="187"/>
      <c r="AM21" s="187" t="s">
        <v>667</v>
      </c>
      <c r="AN21" s="33">
        <f>AH21*$U$7</f>
        <v>20865.592000000001</v>
      </c>
      <c r="AO21" s="33">
        <f>AI21*($U$9+$U$11)</f>
        <v>15041.279189629438</v>
      </c>
      <c r="AP21" s="26">
        <f>SUM(AN21:AO21)</f>
        <v>35906.871189629441</v>
      </c>
      <c r="AQ21" s="110">
        <f>AP21/$AP$27</f>
        <v>9.6241361462339442E-2</v>
      </c>
      <c r="AR21" s="26"/>
      <c r="AS21" s="26"/>
      <c r="AT21" s="26"/>
      <c r="AU21" s="26"/>
      <c r="AV21" s="26"/>
      <c r="AW21" s="29"/>
    </row>
    <row r="22" spans="2:62" ht="18">
      <c r="B22" s="60" t="s">
        <v>584</v>
      </c>
      <c r="C22" s="400">
        <v>60</v>
      </c>
      <c r="D22" s="256" t="s">
        <v>638</v>
      </c>
      <c r="E22" s="260" t="s">
        <v>637</v>
      </c>
      <c r="F22" s="404">
        <v>30</v>
      </c>
      <c r="G22" s="256" t="s">
        <v>638</v>
      </c>
      <c r="H22" s="352" t="s">
        <v>649</v>
      </c>
      <c r="I22" s="406">
        <v>50</v>
      </c>
      <c r="J22" s="358" t="s">
        <v>638</v>
      </c>
      <c r="K22" s="36"/>
      <c r="L22" s="367" t="s">
        <v>812</v>
      </c>
      <c r="M22" s="372" t="s">
        <v>813</v>
      </c>
      <c r="N22" s="373" t="s">
        <v>320</v>
      </c>
      <c r="O22" s="374" t="s">
        <v>814</v>
      </c>
      <c r="R22" s="168"/>
      <c r="S22" s="251"/>
      <c r="T22" s="245"/>
      <c r="U22" s="49"/>
      <c r="V22" s="33"/>
      <c r="W22" s="3"/>
      <c r="X22" s="32"/>
      <c r="Y22" s="3"/>
      <c r="Z22" s="33"/>
      <c r="AA22" s="49"/>
      <c r="AB22" s="32"/>
      <c r="AC22" s="49"/>
      <c r="AD22" s="33"/>
      <c r="AE22" s="33"/>
      <c r="AF22" s="187"/>
      <c r="AG22" s="187" t="s">
        <v>668</v>
      </c>
      <c r="AH22" s="207">
        <f>0.21*(AH9-1)*AH8</f>
        <v>0.74956224000000005</v>
      </c>
      <c r="AI22" s="207">
        <f>0.21*(AI9-1)*AI8</f>
        <v>0.97579666800000009</v>
      </c>
      <c r="AJ22" s="187" t="s">
        <v>468</v>
      </c>
      <c r="AK22" s="33"/>
      <c r="AL22" s="187"/>
      <c r="AM22" s="187" t="s">
        <v>668</v>
      </c>
      <c r="AN22" s="33">
        <f t="shared" ref="AN22:AN26" si="0">AH22*$U$7</f>
        <v>16754.215188480001</v>
      </c>
      <c r="AO22" s="33">
        <f t="shared" ref="AO22:AO26" si="1">AI22*($U$9+$U$11)</f>
        <v>17038.140499824996</v>
      </c>
      <c r="AP22" s="26">
        <f t="shared" ref="AP22:AP26" si="2">SUM(AN22:AO22)</f>
        <v>33792.355688304997</v>
      </c>
      <c r="AQ22" s="110">
        <f t="shared" ref="AQ22:AQ26" si="3">AP22/$AP$27</f>
        <v>9.0573815281388401E-2</v>
      </c>
      <c r="AR22" s="26"/>
      <c r="AS22" s="26"/>
      <c r="AT22" s="26"/>
      <c r="AU22" s="26"/>
      <c r="AV22" s="26"/>
      <c r="AW22" s="29"/>
    </row>
    <row r="23" spans="2:62" ht="18">
      <c r="B23" s="60" t="s">
        <v>258</v>
      </c>
      <c r="C23" s="400">
        <v>60</v>
      </c>
      <c r="D23" s="256" t="s">
        <v>638</v>
      </c>
      <c r="E23" s="352" t="s">
        <v>639</v>
      </c>
      <c r="F23" s="406">
        <v>75</v>
      </c>
      <c r="G23" s="354" t="s">
        <v>640</v>
      </c>
      <c r="H23" s="352" t="s">
        <v>644</v>
      </c>
      <c r="I23" s="406">
        <v>86</v>
      </c>
      <c r="J23" s="354" t="s">
        <v>646</v>
      </c>
      <c r="K23" s="36"/>
      <c r="L23" s="368" t="s">
        <v>810</v>
      </c>
      <c r="M23" s="28">
        <v>86.071133651817703</v>
      </c>
      <c r="N23" s="370">
        <v>83.615075250484296</v>
      </c>
      <c r="O23" s="230">
        <v>59.843762978422397</v>
      </c>
      <c r="R23" s="168"/>
      <c r="S23" s="251"/>
      <c r="T23" s="245"/>
      <c r="U23" s="49"/>
      <c r="V23" s="33"/>
      <c r="W23" s="3"/>
      <c r="X23" s="32"/>
      <c r="Y23" s="3"/>
      <c r="Z23" s="33"/>
      <c r="AA23" s="49"/>
      <c r="AB23" s="32"/>
      <c r="AC23" s="49"/>
      <c r="AD23" s="33"/>
      <c r="AE23" s="33"/>
      <c r="AF23" s="187"/>
      <c r="AG23" s="187" t="s">
        <v>669</v>
      </c>
      <c r="AH23" s="207">
        <f>0.79*AH9*AH8+0.8*AA17/100</f>
        <v>6.3445089600000015</v>
      </c>
      <c r="AI23" s="207">
        <f>0.79*AI9*AI8+0.8*AA19/100</f>
        <v>7.3728282640000007</v>
      </c>
      <c r="AJ23" s="187" t="s">
        <v>468</v>
      </c>
      <c r="AK23" s="33"/>
      <c r="AL23" s="187"/>
      <c r="AM23" s="187" t="s">
        <v>669</v>
      </c>
      <c r="AN23" s="33">
        <f t="shared" si="0"/>
        <v>141812.46427392002</v>
      </c>
      <c r="AO23" s="33">
        <f t="shared" si="1"/>
        <v>128735.10226324407</v>
      </c>
      <c r="AP23" s="26">
        <f t="shared" si="2"/>
        <v>270547.56653716409</v>
      </c>
      <c r="AQ23" s="110">
        <f t="shared" si="3"/>
        <v>0.72514995824475381</v>
      </c>
      <c r="AR23" s="208"/>
      <c r="AS23" s="26"/>
      <c r="AT23" s="26"/>
      <c r="AU23" s="26"/>
      <c r="AV23" s="26"/>
      <c r="AW23" s="29"/>
    </row>
    <row r="24" spans="2:62" ht="18">
      <c r="B24" s="257" t="s">
        <v>636</v>
      </c>
      <c r="C24" s="402">
        <v>70</v>
      </c>
      <c r="D24" s="258" t="s">
        <v>638</v>
      </c>
      <c r="E24" s="353" t="s">
        <v>641</v>
      </c>
      <c r="F24" s="407">
        <v>60</v>
      </c>
      <c r="G24" s="355" t="s">
        <v>638</v>
      </c>
      <c r="H24" s="353" t="s">
        <v>645</v>
      </c>
      <c r="I24" s="407">
        <v>95</v>
      </c>
      <c r="J24" s="355" t="s">
        <v>646</v>
      </c>
      <c r="K24" s="28"/>
      <c r="L24" s="369" t="s">
        <v>811</v>
      </c>
      <c r="M24" s="77">
        <v>112.68643759847485</v>
      </c>
      <c r="N24" s="371">
        <v>124.67741114608657</v>
      </c>
      <c r="O24" s="231">
        <v>171.36767472635944</v>
      </c>
      <c r="R24" s="168"/>
      <c r="S24" s="251"/>
      <c r="T24" s="245"/>
      <c r="U24" s="49"/>
      <c r="V24" s="33"/>
      <c r="W24" s="49"/>
      <c r="X24" s="32"/>
      <c r="Y24" s="3"/>
      <c r="Z24" s="33"/>
      <c r="AA24" s="49"/>
      <c r="AB24" s="32"/>
      <c r="AC24" s="49"/>
      <c r="AD24" s="33"/>
      <c r="AE24" s="33"/>
      <c r="AF24" s="187"/>
      <c r="AG24" s="187" t="s">
        <v>670</v>
      </c>
      <c r="AH24" s="207">
        <f>11.2*Y17/100+1.244*U17/100</f>
        <v>0.62719999999999987</v>
      </c>
      <c r="AI24" s="207">
        <f>11.2*Y19/100+1.244*U19/100</f>
        <v>1.0724480000000001</v>
      </c>
      <c r="AJ24" s="187" t="s">
        <v>468</v>
      </c>
      <c r="AK24" s="33"/>
      <c r="AL24" s="187"/>
      <c r="AM24" s="187" t="s">
        <v>670</v>
      </c>
      <c r="AN24" s="33">
        <f t="shared" si="0"/>
        <v>14019.174399999996</v>
      </c>
      <c r="AO24" s="33">
        <f t="shared" si="1"/>
        <v>18725.745129062398</v>
      </c>
      <c r="AP24" s="26">
        <f t="shared" si="2"/>
        <v>32744.919529062394</v>
      </c>
      <c r="AQ24" s="110">
        <f t="shared" si="3"/>
        <v>8.7766367050156627E-2</v>
      </c>
      <c r="AR24" s="187"/>
      <c r="AS24" s="28"/>
      <c r="AT24" s="26"/>
      <c r="AU24" s="26"/>
      <c r="AV24" s="26"/>
      <c r="AW24" s="29"/>
    </row>
    <row r="25" spans="2:62" ht="18.75" thickBot="1">
      <c r="B25" s="61"/>
      <c r="C25" s="62"/>
      <c r="D25" s="62"/>
      <c r="E25" s="62"/>
      <c r="F25" s="62"/>
      <c r="G25" s="63"/>
      <c r="H25" s="62"/>
      <c r="I25" s="62"/>
      <c r="J25" s="62"/>
      <c r="K25" s="63"/>
      <c r="L25" s="377" t="s">
        <v>816</v>
      </c>
      <c r="M25" s="408">
        <v>100</v>
      </c>
      <c r="N25" s="408">
        <v>100</v>
      </c>
      <c r="O25" s="408">
        <v>100</v>
      </c>
      <c r="P25" s="378"/>
      <c r="Q25" s="62"/>
      <c r="R25" s="171"/>
      <c r="S25" s="251"/>
      <c r="T25" s="245"/>
      <c r="U25" s="49"/>
      <c r="V25" s="33"/>
      <c r="W25" s="3"/>
      <c r="X25" s="32"/>
      <c r="Y25" s="3"/>
      <c r="Z25" s="33"/>
      <c r="AA25" s="49"/>
      <c r="AB25" s="32"/>
      <c r="AC25" s="49"/>
      <c r="AD25" s="33"/>
      <c r="AE25" s="33"/>
      <c r="AF25" s="187"/>
      <c r="AG25" s="187" t="s">
        <v>671</v>
      </c>
      <c r="AH25" s="207">
        <f>0.7*AB17/100</f>
        <v>0</v>
      </c>
      <c r="AI25" s="207">
        <f>0.7*AB19/100</f>
        <v>4.1999999999999998E-5</v>
      </c>
      <c r="AJ25" s="187" t="s">
        <v>468</v>
      </c>
      <c r="AK25" s="33"/>
      <c r="AL25" s="187"/>
      <c r="AM25" s="187" t="s">
        <v>671</v>
      </c>
      <c r="AN25" s="33">
        <f t="shared" si="0"/>
        <v>0</v>
      </c>
      <c r="AO25" s="32">
        <f t="shared" si="1"/>
        <v>0.73335144959999987</v>
      </c>
      <c r="AP25" s="28">
        <f t="shared" si="2"/>
        <v>0.73335144959999987</v>
      </c>
      <c r="AQ25" s="110">
        <f t="shared" si="3"/>
        <v>1.9656054566032092E-6</v>
      </c>
      <c r="AR25" s="187"/>
      <c r="AS25" s="26"/>
      <c r="AT25" s="26"/>
      <c r="AU25" s="26"/>
      <c r="AV25" s="26"/>
      <c r="AW25" s="29"/>
    </row>
    <row r="26" spans="2:62">
      <c r="N26" s="10"/>
      <c r="R26" s="33"/>
      <c r="S26" s="49"/>
      <c r="T26" s="245"/>
      <c r="U26" s="49"/>
      <c r="V26" s="33"/>
      <c r="W26" s="3"/>
      <c r="X26" s="32"/>
      <c r="Y26" s="3"/>
      <c r="Z26" s="33"/>
      <c r="AA26" s="49"/>
      <c r="AB26" s="32"/>
      <c r="AC26" s="49"/>
      <c r="AD26" s="33"/>
      <c r="AE26" s="33"/>
      <c r="AF26" s="187"/>
      <c r="AG26" s="187" t="s">
        <v>469</v>
      </c>
      <c r="AH26" s="207">
        <f>1.028*AC17/100</f>
        <v>0</v>
      </c>
      <c r="AI26" s="207">
        <f>1.028*AC19/100</f>
        <v>5.6951200000000006E-3</v>
      </c>
      <c r="AJ26" s="187" t="s">
        <v>468</v>
      </c>
      <c r="AK26" s="33"/>
      <c r="AL26" s="187"/>
      <c r="AM26" s="187" t="s">
        <v>469</v>
      </c>
      <c r="AN26" s="33">
        <f t="shared" si="0"/>
        <v>0</v>
      </c>
      <c r="AO26" s="33">
        <f t="shared" si="1"/>
        <v>99.441059705855992</v>
      </c>
      <c r="AP26" s="26">
        <f t="shared" si="2"/>
        <v>99.441059705855992</v>
      </c>
      <c r="AQ26" s="110">
        <f t="shared" si="3"/>
        <v>2.6653235590500169E-4</v>
      </c>
      <c r="AR26" s="187"/>
      <c r="AS26" s="26"/>
      <c r="AT26" s="26"/>
      <c r="AU26" s="26"/>
      <c r="AV26" s="26"/>
      <c r="AW26" s="29"/>
    </row>
    <row r="27" spans="2:62" ht="15.75" thickBot="1">
      <c r="R27" s="33"/>
      <c r="S27" s="49"/>
      <c r="T27" s="245"/>
      <c r="U27" s="49"/>
      <c r="V27" s="33"/>
      <c r="W27" s="3"/>
      <c r="X27" s="32"/>
      <c r="Y27" s="49"/>
      <c r="Z27" s="33"/>
      <c r="AA27" s="49"/>
      <c r="AB27" s="32"/>
      <c r="AC27" s="49"/>
      <c r="AD27" s="33"/>
      <c r="AE27" s="33"/>
      <c r="AF27" s="187"/>
      <c r="AG27" s="187" t="s">
        <v>672</v>
      </c>
      <c r="AH27" s="207">
        <f>SUM(AH21:AH26)</f>
        <v>8.6547712000000008</v>
      </c>
      <c r="AI27" s="207">
        <f>SUM(AI21:AI26)</f>
        <v>10.288243852000001</v>
      </c>
      <c r="AJ27" s="187" t="s">
        <v>468</v>
      </c>
      <c r="AK27" s="33"/>
      <c r="AL27" s="187"/>
      <c r="AM27" s="187" t="s">
        <v>672</v>
      </c>
      <c r="AN27" s="33"/>
      <c r="AO27" s="187"/>
      <c r="AP27" s="209">
        <f>SUM(AP21:AP26)</f>
        <v>373091.88735531643</v>
      </c>
      <c r="AQ27" s="187"/>
      <c r="AR27" s="187"/>
      <c r="AS27" s="26"/>
      <c r="AT27" s="26"/>
      <c r="AU27" s="26"/>
      <c r="AV27" s="26"/>
      <c r="AW27" s="29"/>
    </row>
    <row r="28" spans="2:62" ht="15.75" thickBot="1">
      <c r="B28" s="68"/>
      <c r="C28" s="19"/>
      <c r="D28" s="19"/>
      <c r="E28" s="19"/>
      <c r="F28" s="19"/>
      <c r="G28" s="21"/>
      <c r="H28" s="19"/>
      <c r="I28" s="19"/>
      <c r="J28" s="19"/>
      <c r="K28" s="21"/>
      <c r="L28" s="19"/>
      <c r="M28" s="19"/>
      <c r="N28" s="19"/>
      <c r="O28" s="21"/>
      <c r="P28" s="154"/>
      <c r="Q28" s="154"/>
      <c r="R28" s="154"/>
      <c r="S28" s="152"/>
      <c r="T28" s="32"/>
      <c r="U28" s="49"/>
      <c r="V28" s="33"/>
      <c r="W28" s="49"/>
      <c r="X28" s="32"/>
      <c r="Y28" s="3"/>
      <c r="Z28" s="33"/>
      <c r="AA28" s="49"/>
      <c r="AB28" s="32"/>
      <c r="AC28" s="49"/>
      <c r="AD28" s="33"/>
      <c r="AE28" s="33"/>
      <c r="AF28" s="33"/>
      <c r="AG28" s="33"/>
      <c r="AH28" s="33"/>
      <c r="AI28" s="150"/>
      <c r="AJ28" s="150"/>
      <c r="AK28" s="150"/>
      <c r="AL28" s="150"/>
      <c r="AM28" s="150"/>
      <c r="AN28" s="150"/>
      <c r="AO28" s="219"/>
      <c r="AP28" s="219"/>
      <c r="AQ28" s="220"/>
      <c r="AR28" s="219"/>
      <c r="AS28" s="62"/>
      <c r="AT28" s="62"/>
      <c r="AU28" s="62"/>
      <c r="AV28" s="62"/>
      <c r="AW28" s="64"/>
    </row>
    <row r="29" spans="2:62" ht="15.75" thickBot="1">
      <c r="B29" s="34"/>
      <c r="C29" s="26"/>
      <c r="D29" s="26"/>
      <c r="E29" s="26"/>
      <c r="F29" s="26"/>
      <c r="G29" s="28"/>
      <c r="H29" s="26"/>
      <c r="I29" s="26"/>
      <c r="J29" s="26"/>
      <c r="K29" s="28"/>
      <c r="L29" s="26"/>
      <c r="M29" s="26"/>
      <c r="N29" s="210"/>
      <c r="O29" s="28"/>
      <c r="P29" s="33"/>
      <c r="Q29" s="33"/>
      <c r="R29" s="33"/>
      <c r="S29" s="49"/>
      <c r="T29" s="32"/>
      <c r="U29" s="49"/>
      <c r="V29" s="33"/>
      <c r="W29" s="49"/>
      <c r="X29" s="32"/>
      <c r="Y29" s="49"/>
      <c r="Z29" s="33"/>
      <c r="AA29" s="49"/>
      <c r="AB29" s="32"/>
      <c r="AC29" s="49"/>
      <c r="AD29" s="33"/>
      <c r="AE29" s="33"/>
      <c r="AF29" s="33"/>
      <c r="AG29" s="33"/>
      <c r="AH29" s="168"/>
      <c r="AN29" s="33"/>
      <c r="AO29" s="187"/>
      <c r="AP29" s="187"/>
      <c r="AQ29" s="194"/>
      <c r="AR29" s="187"/>
    </row>
    <row r="30" spans="2:62">
      <c r="B30" s="34"/>
      <c r="C30" s="26"/>
      <c r="D30" s="26"/>
      <c r="E30" s="26"/>
      <c r="F30" s="26"/>
      <c r="G30" s="28"/>
      <c r="H30" s="26"/>
      <c r="I30" s="26"/>
      <c r="J30" s="26"/>
      <c r="K30" s="28"/>
      <c r="L30" s="26"/>
      <c r="M30" s="26"/>
      <c r="N30" s="210"/>
      <c r="O30" s="28"/>
      <c r="P30" s="33"/>
      <c r="Q30" s="26"/>
      <c r="R30" s="26"/>
      <c r="S30" s="26"/>
      <c r="T30" s="28"/>
      <c r="U30" s="49"/>
      <c r="V30" s="33"/>
      <c r="W30" s="49"/>
      <c r="X30" s="32"/>
      <c r="Y30" s="49"/>
      <c r="Z30" s="33"/>
      <c r="AA30" s="49"/>
      <c r="AB30" s="32"/>
      <c r="AC30" s="49"/>
      <c r="AD30" s="33"/>
      <c r="AE30" s="33"/>
      <c r="AF30" s="33"/>
      <c r="AG30" s="33"/>
      <c r="AH30" s="168"/>
      <c r="AJ30" s="23" t="s">
        <v>819</v>
      </c>
      <c r="AK30" s="19"/>
      <c r="AL30" s="19"/>
      <c r="AM30" s="19"/>
      <c r="AN30" s="19"/>
      <c r="AO30" s="19"/>
      <c r="AP30" s="22"/>
      <c r="AQ30" s="187"/>
      <c r="AR30" s="187"/>
      <c r="BA30" s="26"/>
      <c r="BB30" s="26"/>
      <c r="BC30" s="26"/>
      <c r="BD30" s="26"/>
      <c r="BE30" s="26"/>
      <c r="BF30" s="26"/>
      <c r="BG30" s="26"/>
      <c r="BH30" s="26"/>
      <c r="BI30" s="26"/>
      <c r="BJ30" s="26"/>
    </row>
    <row r="31" spans="2:62">
      <c r="B31" s="167" t="s">
        <v>463</v>
      </c>
      <c r="C31" s="33"/>
      <c r="D31" s="33"/>
      <c r="E31" s="33"/>
      <c r="F31" s="33"/>
      <c r="G31" s="32"/>
      <c r="H31" s="27" t="s">
        <v>465</v>
      </c>
      <c r="I31" s="33"/>
      <c r="J31" s="26"/>
      <c r="K31" s="28"/>
      <c r="L31" s="26"/>
      <c r="M31" s="26"/>
      <c r="N31" s="26"/>
      <c r="O31" s="28"/>
      <c r="P31" s="26"/>
      <c r="Q31" s="26"/>
      <c r="R31" s="120" t="s">
        <v>464</v>
      </c>
      <c r="S31" s="32"/>
      <c r="T31" s="33"/>
      <c r="U31" s="26"/>
      <c r="V31" s="26"/>
      <c r="W31" s="26"/>
      <c r="X31" s="28"/>
      <c r="Y31" s="49"/>
      <c r="Z31" s="49"/>
      <c r="AA31" s="49"/>
      <c r="AB31" s="28"/>
      <c r="AC31" s="120" t="s">
        <v>529</v>
      </c>
      <c r="AD31" s="33"/>
      <c r="AE31" s="33"/>
      <c r="AF31" s="26"/>
      <c r="AG31" s="26"/>
      <c r="AH31" s="29"/>
      <c r="AJ31" s="34"/>
      <c r="AK31" s="26"/>
      <c r="AL31" s="26"/>
      <c r="AM31" s="26"/>
      <c r="AN31" s="26" t="s">
        <v>212</v>
      </c>
      <c r="AO31" s="26"/>
      <c r="AP31" s="29"/>
      <c r="BA31" s="26"/>
      <c r="BB31" s="27"/>
      <c r="BC31" s="26"/>
      <c r="BD31" s="26"/>
      <c r="BE31" s="26"/>
      <c r="BF31" s="26"/>
      <c r="BG31" s="26"/>
      <c r="BH31" s="26"/>
      <c r="BI31" s="26"/>
      <c r="BJ31" s="26"/>
    </row>
    <row r="32" spans="2:62" ht="18">
      <c r="B32" s="169" t="s">
        <v>493</v>
      </c>
      <c r="C32" s="33"/>
      <c r="D32" s="33"/>
      <c r="E32" s="33"/>
      <c r="F32" s="33"/>
      <c r="G32" s="32"/>
      <c r="H32" s="33"/>
      <c r="I32" s="33"/>
      <c r="J32" s="26"/>
      <c r="K32" s="28"/>
      <c r="L32" s="26"/>
      <c r="M32" s="26"/>
      <c r="N32" s="26"/>
      <c r="O32" s="28"/>
      <c r="P32" s="26"/>
      <c r="Q32" s="26"/>
      <c r="R32" s="120" t="s">
        <v>527</v>
      </c>
      <c r="S32" s="32"/>
      <c r="T32" s="33"/>
      <c r="U32" s="26"/>
      <c r="V32" s="26"/>
      <c r="W32" s="122" t="s">
        <v>466</v>
      </c>
      <c r="X32" s="28"/>
      <c r="Y32" s="49"/>
      <c r="Z32" s="33"/>
      <c r="AA32" s="26"/>
      <c r="AB32" s="28"/>
      <c r="AC32" s="120" t="s">
        <v>530</v>
      </c>
      <c r="AD32" s="33"/>
      <c r="AE32" s="33"/>
      <c r="AF32" s="26"/>
      <c r="AG32" s="26"/>
      <c r="AH32" s="29"/>
      <c r="AJ32" s="346" t="s">
        <v>765</v>
      </c>
      <c r="AK32" s="347"/>
      <c r="AL32" s="347" t="s">
        <v>766</v>
      </c>
      <c r="AM32" s="348" t="s">
        <v>764</v>
      </c>
      <c r="AN32" s="26"/>
      <c r="AO32" s="26"/>
      <c r="AP32" s="29"/>
      <c r="BA32" s="26"/>
      <c r="BB32" s="26"/>
      <c r="BC32" s="26"/>
      <c r="BD32" s="26"/>
      <c r="BE32" s="26"/>
      <c r="BF32" s="26"/>
      <c r="BG32" s="26"/>
      <c r="BH32" s="26"/>
      <c r="BI32" s="26"/>
      <c r="BJ32" s="26"/>
    </row>
    <row r="33" spans="2:62" ht="15.75" thickBot="1">
      <c r="B33" s="169"/>
      <c r="C33" s="33"/>
      <c r="D33" s="33"/>
      <c r="E33" s="33"/>
      <c r="F33" s="33"/>
      <c r="G33" s="32"/>
      <c r="H33" s="120" t="s">
        <v>503</v>
      </c>
      <c r="I33" s="33"/>
      <c r="J33" s="26"/>
      <c r="K33" s="28"/>
      <c r="L33" s="26"/>
      <c r="M33" s="26"/>
      <c r="N33" s="26"/>
      <c r="O33" s="28"/>
      <c r="P33" s="26"/>
      <c r="Q33" s="26"/>
      <c r="R33" s="26"/>
      <c r="S33" s="28"/>
      <c r="T33" s="26"/>
      <c r="U33" s="26"/>
      <c r="V33" s="26"/>
      <c r="W33" s="26"/>
      <c r="X33" s="28"/>
      <c r="Y33" s="49"/>
      <c r="Z33" s="33"/>
      <c r="AA33" s="49"/>
      <c r="AB33" s="28"/>
      <c r="AC33" s="33"/>
      <c r="AD33" s="33">
        <v>1.45</v>
      </c>
      <c r="AE33" s="26" t="s">
        <v>555</v>
      </c>
      <c r="AF33" s="33" t="s">
        <v>662</v>
      </c>
      <c r="AG33" s="26"/>
      <c r="AH33" s="29"/>
      <c r="AJ33" s="339" t="s">
        <v>623</v>
      </c>
      <c r="AK33" s="340"/>
      <c r="AL33" s="427">
        <f>S34*AQ21*24</f>
        <v>35752.830967114613</v>
      </c>
      <c r="AM33" s="341" t="s">
        <v>113</v>
      </c>
      <c r="AN33" s="26"/>
      <c r="AO33" s="26"/>
      <c r="AP33" s="29"/>
      <c r="BA33" s="26"/>
      <c r="BB33" s="36"/>
      <c r="BC33" s="26"/>
      <c r="BD33" s="26"/>
      <c r="BE33" s="36"/>
      <c r="BF33" s="97"/>
      <c r="BG33" s="26"/>
      <c r="BH33" s="26"/>
      <c r="BI33" s="26"/>
      <c r="BJ33" s="26"/>
    </row>
    <row r="34" spans="2:62" ht="17.25" thickBot="1">
      <c r="B34" s="385" t="s">
        <v>699</v>
      </c>
      <c r="C34" s="386"/>
      <c r="D34" s="175" t="s">
        <v>298</v>
      </c>
      <c r="E34" s="175" t="s">
        <v>495</v>
      </c>
      <c r="F34" s="175" t="s">
        <v>698</v>
      </c>
      <c r="G34" s="32"/>
      <c r="H34" s="33"/>
      <c r="I34" s="33" t="s">
        <v>1</v>
      </c>
      <c r="J34" s="26" t="s">
        <v>2</v>
      </c>
      <c r="K34" s="28" t="s">
        <v>234</v>
      </c>
      <c r="L34" s="26"/>
      <c r="M34" s="26"/>
      <c r="N34" s="26"/>
      <c r="O34" s="28"/>
      <c r="P34" s="26"/>
      <c r="Q34" s="26"/>
      <c r="R34" s="26" t="s">
        <v>524</v>
      </c>
      <c r="S34" s="28">
        <f>K36</f>
        <v>15478.805241958082</v>
      </c>
      <c r="T34" s="28" t="s">
        <v>506</v>
      </c>
      <c r="U34" s="26"/>
      <c r="V34" s="26"/>
      <c r="W34" s="26" t="s">
        <v>539</v>
      </c>
      <c r="X34" s="28"/>
      <c r="Y34" s="49"/>
      <c r="Z34" s="33"/>
      <c r="AA34" s="49"/>
      <c r="AB34" s="28"/>
      <c r="AC34" s="50"/>
      <c r="AD34" s="51">
        <f>AD33/1000*S34*24/0.2778</f>
        <v>1939.0295983446408</v>
      </c>
      <c r="AE34" s="58" t="s">
        <v>110</v>
      </c>
      <c r="AF34" s="26"/>
      <c r="AG34" s="26"/>
      <c r="AH34" s="29"/>
      <c r="AJ34" s="25" t="s">
        <v>617</v>
      </c>
      <c r="AK34" s="36"/>
      <c r="AL34" s="422">
        <f>-O99/3.6*AN34</f>
        <v>9172.5885736387299</v>
      </c>
      <c r="AM34" s="342" t="s">
        <v>113</v>
      </c>
      <c r="AN34" s="242">
        <f>0.466/AN43</f>
        <v>0.2357106727364694</v>
      </c>
      <c r="AO34" s="26" t="s">
        <v>624</v>
      </c>
      <c r="AP34" s="29"/>
      <c r="AR34" s="301"/>
      <c r="AS34" s="26"/>
      <c r="BA34" s="26"/>
      <c r="BB34" s="36"/>
      <c r="BC34" s="26"/>
      <c r="BD34" s="26"/>
      <c r="BE34" s="26"/>
      <c r="BF34" s="28"/>
      <c r="BG34" s="36"/>
      <c r="BH34" s="26"/>
      <c r="BI34" s="26"/>
      <c r="BJ34" s="26"/>
    </row>
    <row r="35" spans="2:62" ht="17.25" thickTop="1">
      <c r="B35" s="395" t="s">
        <v>496</v>
      </c>
      <c r="C35" s="396"/>
      <c r="D35" s="176">
        <f>SUM(D37,D49,D50)</f>
        <v>3683988.6204797872</v>
      </c>
      <c r="E35" s="176">
        <f>SUM(E37,E49,E50)</f>
        <v>3017291.7376483963</v>
      </c>
      <c r="F35" s="177"/>
      <c r="G35" s="32"/>
      <c r="H35" s="26" t="s">
        <v>525</v>
      </c>
      <c r="I35" s="33">
        <f>D35-D56</f>
        <v>3178714.7313597873</v>
      </c>
      <c r="J35" s="33">
        <f>E35-E56</f>
        <v>2586666.5512008481</v>
      </c>
      <c r="K35" s="28">
        <f>SUM(I35:J35)</f>
        <v>5765381.2825606354</v>
      </c>
      <c r="L35" s="26" t="s">
        <v>149</v>
      </c>
      <c r="M35" s="26"/>
      <c r="N35" s="26"/>
      <c r="O35" s="28"/>
      <c r="P35" s="26"/>
      <c r="Q35" s="26"/>
      <c r="R35" s="33" t="s">
        <v>501</v>
      </c>
      <c r="S35" s="32">
        <f>I80</f>
        <v>943.5</v>
      </c>
      <c r="T35" s="156" t="s">
        <v>180</v>
      </c>
      <c r="U35" s="33"/>
      <c r="V35" s="26"/>
      <c r="W35" s="26" t="s">
        <v>542</v>
      </c>
      <c r="X35" s="28">
        <v>400</v>
      </c>
      <c r="Y35" s="26"/>
      <c r="Z35" s="33"/>
      <c r="AA35" s="49"/>
      <c r="AB35" s="28"/>
      <c r="AC35" s="33"/>
      <c r="AD35" s="33"/>
      <c r="AE35" s="33"/>
      <c r="AF35" s="26"/>
      <c r="AG35" s="26"/>
      <c r="AH35" s="29"/>
      <c r="AJ35" s="25" t="s">
        <v>619</v>
      </c>
      <c r="AK35" s="36"/>
      <c r="AL35" s="422">
        <f>-O100/3.6*AN35</f>
        <v>4662.2525680438348</v>
      </c>
      <c r="AM35" s="342" t="s">
        <v>113</v>
      </c>
      <c r="AN35" s="96">
        <f>0.2/AN43</f>
        <v>0.10116337885685382</v>
      </c>
      <c r="AO35" s="26" t="s">
        <v>625</v>
      </c>
      <c r="AP35" s="29"/>
      <c r="BA35" s="26"/>
      <c r="BB35" s="49"/>
      <c r="BC35" s="33"/>
      <c r="BD35" s="33"/>
      <c r="BE35" s="33"/>
      <c r="BF35" s="26"/>
      <c r="BG35" s="26"/>
      <c r="BH35" s="26"/>
      <c r="BI35" s="26"/>
      <c r="BJ35" s="26"/>
    </row>
    <row r="36" spans="2:62" ht="16.5">
      <c r="B36" s="397"/>
      <c r="C36" s="398"/>
      <c r="D36" s="398"/>
      <c r="E36" s="398"/>
      <c r="F36" s="399"/>
      <c r="G36" s="32"/>
      <c r="H36" s="187" t="s">
        <v>504</v>
      </c>
      <c r="I36" s="33">
        <f>D38*AH16</f>
        <v>8050.3745520000002</v>
      </c>
      <c r="J36" s="33">
        <f>E38*AI16</f>
        <v>7428.4306899580806</v>
      </c>
      <c r="K36" s="28">
        <f>SUM(I36:J36)</f>
        <v>15478.805241958082</v>
      </c>
      <c r="L36" s="28" t="s">
        <v>506</v>
      </c>
      <c r="M36" s="26"/>
      <c r="N36" s="26"/>
      <c r="O36" s="28"/>
      <c r="P36" s="26"/>
      <c r="Q36" s="26"/>
      <c r="R36" s="26" t="s">
        <v>728</v>
      </c>
      <c r="S36" s="28">
        <v>225</v>
      </c>
      <c r="T36" s="156" t="s">
        <v>180</v>
      </c>
      <c r="U36" s="33" t="s">
        <v>526</v>
      </c>
      <c r="V36" s="26"/>
      <c r="W36" s="26" t="s">
        <v>541</v>
      </c>
      <c r="X36" s="28">
        <v>130</v>
      </c>
      <c r="Y36" s="156" t="s">
        <v>180</v>
      </c>
      <c r="Z36" s="33"/>
      <c r="AA36" s="49"/>
      <c r="AB36" s="32"/>
      <c r="AC36" s="33"/>
      <c r="AD36" s="33"/>
      <c r="AE36" s="33"/>
      <c r="AF36" s="26"/>
      <c r="AG36" s="26"/>
      <c r="AH36" s="29"/>
      <c r="AJ36" s="25" t="s">
        <v>210</v>
      </c>
      <c r="AK36" s="36" t="s">
        <v>620</v>
      </c>
      <c r="AL36" s="421">
        <f>AE47*AN36</f>
        <v>0</v>
      </c>
      <c r="AM36" s="75"/>
      <c r="AN36" s="26">
        <v>0</v>
      </c>
      <c r="AO36" s="26" t="s">
        <v>621</v>
      </c>
      <c r="AP36" s="29"/>
      <c r="BA36" s="26"/>
      <c r="BB36" s="49"/>
      <c r="BC36" s="33"/>
      <c r="BD36" s="32"/>
      <c r="BE36" s="49"/>
      <c r="BF36" s="26"/>
      <c r="BG36" s="26"/>
      <c r="BH36" s="26"/>
      <c r="BI36" s="26"/>
      <c r="BJ36" s="26"/>
    </row>
    <row r="37" spans="2:62" ht="17.25" thickBot="1">
      <c r="B37" s="211" t="s">
        <v>697</v>
      </c>
      <c r="C37" s="178"/>
      <c r="D37" s="179">
        <f>D38*D39*D40</f>
        <v>20371.612800000003</v>
      </c>
      <c r="E37" s="179">
        <f>E38*E39*E40</f>
        <v>30393.529930487974</v>
      </c>
      <c r="F37" s="180" t="s">
        <v>443</v>
      </c>
      <c r="G37" s="32"/>
      <c r="H37" s="187" t="s">
        <v>505</v>
      </c>
      <c r="I37" s="33">
        <f>I35/I36</f>
        <v>394.85302340002073</v>
      </c>
      <c r="J37" s="26">
        <f>J35/J36</f>
        <v>348.21170973534987</v>
      </c>
      <c r="K37" s="6">
        <f>K35/K36</f>
        <v>372.46939879652558</v>
      </c>
      <c r="L37" s="26"/>
      <c r="M37" s="26"/>
      <c r="N37" s="33"/>
      <c r="O37" s="32"/>
      <c r="P37" s="33"/>
      <c r="Q37" s="33"/>
      <c r="R37" s="198" t="s">
        <v>521</v>
      </c>
      <c r="S37" s="32">
        <f>S35-S36</f>
        <v>718.5</v>
      </c>
      <c r="T37" s="156" t="s">
        <v>180</v>
      </c>
      <c r="U37" s="49"/>
      <c r="V37" s="26"/>
      <c r="W37" s="198" t="s">
        <v>521</v>
      </c>
      <c r="X37" s="32">
        <f>X35-X36</f>
        <v>270</v>
      </c>
      <c r="Y37" s="156" t="s">
        <v>180</v>
      </c>
      <c r="Z37" s="33"/>
      <c r="AA37" s="49"/>
      <c r="AB37" s="32"/>
      <c r="AC37" s="203" t="s">
        <v>531</v>
      </c>
      <c r="AD37" s="33"/>
      <c r="AE37" s="33"/>
      <c r="AF37" s="26"/>
      <c r="AG37" s="26"/>
      <c r="AH37" s="29"/>
      <c r="AJ37" s="25"/>
      <c r="AK37" s="36" t="s">
        <v>622</v>
      </c>
      <c r="AL37" s="421">
        <f>AE48*AN37</f>
        <v>722.45941809529597</v>
      </c>
      <c r="AM37" s="75"/>
      <c r="AN37" s="84">
        <f>717.51/AN43</f>
        <v>362.9286798179059</v>
      </c>
      <c r="AO37" s="3" t="s">
        <v>337</v>
      </c>
      <c r="AP37" s="29"/>
      <c r="BA37" s="26"/>
      <c r="BB37" s="49"/>
      <c r="BC37" s="33"/>
      <c r="BD37" s="65"/>
      <c r="BE37" s="122"/>
      <c r="BF37" s="26"/>
      <c r="BG37" s="26"/>
      <c r="BH37" s="26"/>
      <c r="BI37" s="26"/>
      <c r="BJ37" s="26"/>
    </row>
    <row r="38" spans="2:62" ht="15.75" thickBot="1">
      <c r="B38" s="392"/>
      <c r="C38" s="181" t="s">
        <v>695</v>
      </c>
      <c r="D38" s="182">
        <f>U8</f>
        <v>931.33333333333337</v>
      </c>
      <c r="E38" s="182">
        <f>U10+U12</f>
        <v>727.5311999999999</v>
      </c>
      <c r="F38" s="181" t="s">
        <v>444</v>
      </c>
      <c r="G38" s="32"/>
      <c r="H38" s="33"/>
      <c r="I38" s="33"/>
      <c r="J38" s="33"/>
      <c r="K38" s="32"/>
      <c r="L38" s="33"/>
      <c r="M38" s="33"/>
      <c r="N38" s="33"/>
      <c r="O38" s="32"/>
      <c r="P38" s="33"/>
      <c r="Q38" s="33"/>
      <c r="R38" s="53" t="s">
        <v>673</v>
      </c>
      <c r="S38" s="54">
        <f>S34*S37*M76*24*0.004184</f>
        <v>440985.31595601077</v>
      </c>
      <c r="T38" s="55" t="s">
        <v>110</v>
      </c>
      <c r="U38" s="49"/>
      <c r="V38" s="26"/>
      <c r="W38" s="26" t="s">
        <v>543</v>
      </c>
      <c r="X38" s="28">
        <f>4.2/4.1868</f>
        <v>1.0031527658354831</v>
      </c>
      <c r="Y38" s="26" t="s">
        <v>544</v>
      </c>
      <c r="Z38" s="33"/>
      <c r="AA38" s="49"/>
      <c r="AB38" s="32"/>
      <c r="AC38" s="33" t="s">
        <v>556</v>
      </c>
      <c r="AD38" s="32">
        <f>S34*AQ25*24</f>
        <v>0.73020537708698796</v>
      </c>
      <c r="AE38" s="33" t="s">
        <v>557</v>
      </c>
      <c r="AF38" s="26"/>
      <c r="AG38" s="26"/>
      <c r="AH38" s="29"/>
      <c r="AJ38" s="343" t="s">
        <v>213</v>
      </c>
      <c r="AK38" s="344"/>
      <c r="AL38" s="423">
        <f>L8*AN38/1000</f>
        <v>12.620953768335864</v>
      </c>
      <c r="AM38" s="345" t="s">
        <v>113</v>
      </c>
      <c r="AN38" s="97">
        <f>0.5/AN43</f>
        <v>0.25290844714213456</v>
      </c>
      <c r="AO38" s="26" t="s">
        <v>214</v>
      </c>
      <c r="AP38" s="29"/>
      <c r="BA38" s="26"/>
      <c r="BB38" s="49"/>
      <c r="BC38" s="33"/>
      <c r="BD38" s="65"/>
      <c r="BE38" s="122"/>
      <c r="BF38" s="26"/>
      <c r="BG38" s="26"/>
      <c r="BH38" s="26"/>
      <c r="BI38" s="26"/>
      <c r="BJ38" s="26"/>
    </row>
    <row r="39" spans="2:62" ht="16.5">
      <c r="B39" s="393"/>
      <c r="C39" s="181" t="s">
        <v>696</v>
      </c>
      <c r="D39" s="181">
        <f>(D43*D46)+(D44*D47)+(D45*D48)</f>
        <v>0.24304000000000001</v>
      </c>
      <c r="E39" s="181">
        <f>(E43*E46)+(E44*E47)+(E45*E48)</f>
        <v>0.46418062636562268</v>
      </c>
      <c r="F39" s="181" t="s">
        <v>507</v>
      </c>
      <c r="G39" s="32"/>
      <c r="H39" s="33"/>
      <c r="I39" s="33"/>
      <c r="J39" s="32"/>
      <c r="K39" s="32"/>
      <c r="L39" s="33"/>
      <c r="M39" s="33"/>
      <c r="N39" s="33"/>
      <c r="O39" s="32"/>
      <c r="P39" s="33"/>
      <c r="Q39" s="33"/>
      <c r="R39" s="26"/>
      <c r="S39" s="26"/>
      <c r="T39" s="28"/>
      <c r="U39" s="49"/>
      <c r="V39" s="26"/>
      <c r="W39" s="26" t="s">
        <v>547</v>
      </c>
      <c r="X39" s="28">
        <f>X38*X36</f>
        <v>130.40985955861279</v>
      </c>
      <c r="Y39" s="49" t="s">
        <v>160</v>
      </c>
      <c r="Z39" s="33"/>
      <c r="AA39" s="49"/>
      <c r="AB39" s="5"/>
      <c r="AC39" s="33"/>
      <c r="AD39" s="32">
        <f>AD38/0.022414</f>
        <v>32.578093026099225</v>
      </c>
      <c r="AE39" s="33" t="s">
        <v>559</v>
      </c>
      <c r="AF39" s="33"/>
      <c r="AG39" s="33"/>
      <c r="AH39" s="29"/>
      <c r="AJ39" s="25"/>
      <c r="AK39" s="36"/>
      <c r="AL39" s="26"/>
      <c r="AM39" s="36"/>
      <c r="AN39" s="26"/>
      <c r="AO39" s="26"/>
      <c r="AP39" s="29"/>
      <c r="BA39" s="26"/>
      <c r="BB39" s="26"/>
      <c r="BC39" s="26"/>
      <c r="BD39" s="26"/>
      <c r="BE39" s="26"/>
      <c r="BF39" s="26"/>
      <c r="BG39" s="26"/>
      <c r="BH39" s="26"/>
      <c r="BI39" s="26"/>
      <c r="BJ39" s="26"/>
    </row>
    <row r="40" spans="2:62">
      <c r="B40" s="393"/>
      <c r="C40" s="181" t="s">
        <v>694</v>
      </c>
      <c r="D40" s="181">
        <v>90</v>
      </c>
      <c r="E40" s="181">
        <v>90</v>
      </c>
      <c r="F40" s="181" t="s">
        <v>445</v>
      </c>
      <c r="G40" s="32"/>
      <c r="H40" s="33" t="s">
        <v>508</v>
      </c>
      <c r="I40" s="33"/>
      <c r="J40" s="32"/>
      <c r="K40" s="32"/>
      <c r="L40" s="33"/>
      <c r="M40" s="33"/>
      <c r="N40" s="33"/>
      <c r="O40" s="32"/>
      <c r="P40" s="33"/>
      <c r="Q40" s="33"/>
      <c r="R40" s="27" t="s">
        <v>528</v>
      </c>
      <c r="S40" s="26"/>
      <c r="T40" s="32"/>
      <c r="U40" s="49"/>
      <c r="V40" s="26"/>
      <c r="W40" s="26" t="s">
        <v>546</v>
      </c>
      <c r="X40" s="28">
        <f>3200/4.1868</f>
        <v>764.30686920798701</v>
      </c>
      <c r="Y40" s="26" t="s">
        <v>160</v>
      </c>
      <c r="Z40" s="26"/>
      <c r="AA40" s="49"/>
      <c r="AB40" s="32"/>
      <c r="AC40" s="33" t="s">
        <v>560</v>
      </c>
      <c r="AD40" s="32">
        <f>AD39*2</f>
        <v>65.15618605219845</v>
      </c>
      <c r="AE40" s="33" t="s">
        <v>558</v>
      </c>
      <c r="AF40" s="33"/>
      <c r="AG40" s="33"/>
      <c r="AH40" s="29"/>
      <c r="AJ40" s="34"/>
      <c r="AK40" s="26"/>
      <c r="AL40" s="26"/>
      <c r="AM40" s="26"/>
      <c r="AN40" s="26"/>
      <c r="AO40" s="26"/>
      <c r="AP40" s="29"/>
      <c r="BA40" s="26"/>
      <c r="BB40" s="26"/>
      <c r="BC40" s="26"/>
      <c r="BD40" s="26"/>
      <c r="BE40" s="26"/>
      <c r="BF40" s="26"/>
      <c r="BG40" s="26"/>
      <c r="BH40" s="26"/>
      <c r="BI40" s="26"/>
      <c r="BJ40" s="26"/>
    </row>
    <row r="41" spans="2:62">
      <c r="B41" s="394"/>
      <c r="C41" s="181"/>
      <c r="D41" s="181"/>
      <c r="E41" s="181"/>
      <c r="F41" s="181"/>
      <c r="G41" s="32"/>
      <c r="H41" s="33"/>
      <c r="I41" s="33"/>
      <c r="J41" s="32"/>
      <c r="K41" s="32"/>
      <c r="L41" s="33"/>
      <c r="M41" s="33"/>
      <c r="N41" s="33"/>
      <c r="O41" s="32"/>
      <c r="P41" s="33"/>
      <c r="Q41" s="33"/>
      <c r="R41" s="33"/>
      <c r="S41" s="49"/>
      <c r="T41" s="32"/>
      <c r="U41" s="33"/>
      <c r="V41" s="26"/>
      <c r="W41" s="26" t="s">
        <v>548</v>
      </c>
      <c r="X41" s="28">
        <f>X40-X39</f>
        <v>633.89700964937424</v>
      </c>
      <c r="Y41" s="26" t="s">
        <v>549</v>
      </c>
      <c r="Z41" s="198" t="s">
        <v>545</v>
      </c>
      <c r="AA41" s="33"/>
      <c r="AB41" s="32"/>
      <c r="AC41" s="33"/>
      <c r="AD41" s="28">
        <v>84.01</v>
      </c>
      <c r="AE41" s="26" t="s">
        <v>276</v>
      </c>
      <c r="AF41" s="33"/>
      <c r="AG41" s="33"/>
      <c r="AH41" s="29"/>
      <c r="AJ41" s="25"/>
      <c r="AK41" s="26"/>
      <c r="AL41" s="26"/>
      <c r="AM41" s="26"/>
      <c r="AN41" s="26"/>
      <c r="AO41" s="26"/>
      <c r="AP41" s="29"/>
      <c r="BA41" s="26"/>
      <c r="BB41" s="26"/>
      <c r="BC41" s="26"/>
      <c r="BD41" s="26"/>
      <c r="BE41" s="26"/>
      <c r="BF41" s="26"/>
      <c r="BG41" s="26"/>
      <c r="BH41" s="26"/>
      <c r="BI41" s="26"/>
      <c r="BJ41" s="26"/>
    </row>
    <row r="42" spans="2:62" ht="15.75" thickBot="1">
      <c r="B42" s="212" t="s">
        <v>446</v>
      </c>
      <c r="C42" s="181"/>
      <c r="D42" s="181"/>
      <c r="E42" s="181"/>
      <c r="F42" s="181"/>
      <c r="G42" s="32"/>
      <c r="H42" s="187" t="s">
        <v>692</v>
      </c>
      <c r="J42" s="32"/>
      <c r="K42" s="32"/>
      <c r="L42" s="33"/>
      <c r="M42" s="33"/>
      <c r="N42" s="33"/>
      <c r="O42" s="32"/>
      <c r="P42" s="33"/>
      <c r="Q42" s="33"/>
      <c r="R42" s="33" t="s">
        <v>499</v>
      </c>
      <c r="S42" s="32">
        <f>(D51*D38)+(E38*E51)</f>
        <v>14240.72721700992</v>
      </c>
      <c r="T42" s="33" t="s">
        <v>500</v>
      </c>
      <c r="U42" s="26"/>
      <c r="V42" s="26"/>
      <c r="W42" s="27"/>
      <c r="X42" s="6">
        <f>X41*4.1868/1000</f>
        <v>2.6539999999999999</v>
      </c>
      <c r="Y42" s="27" t="s">
        <v>550</v>
      </c>
      <c r="Z42" s="26"/>
      <c r="AA42" s="26"/>
      <c r="AB42" s="28"/>
      <c r="AC42" s="40"/>
      <c r="AD42" s="39">
        <f>AD40*AD41/1000</f>
        <v>5.4737711902451922</v>
      </c>
      <c r="AE42" s="40" t="s">
        <v>20</v>
      </c>
      <c r="AF42" s="26"/>
      <c r="AG42" s="26"/>
      <c r="AH42" s="29"/>
      <c r="AJ42" s="25"/>
      <c r="AK42" s="26"/>
      <c r="AL42" s="26"/>
      <c r="AM42" s="26"/>
      <c r="AN42" s="26"/>
      <c r="AO42" s="26"/>
      <c r="AP42" s="29"/>
      <c r="BA42" s="26"/>
      <c r="BB42" s="26"/>
      <c r="BC42" s="26"/>
      <c r="BD42" s="26"/>
      <c r="BE42" s="26"/>
      <c r="BF42" s="26"/>
      <c r="BG42" s="26"/>
      <c r="BH42" s="26"/>
      <c r="BI42" s="26"/>
      <c r="BJ42" s="26"/>
    </row>
    <row r="43" spans="2:62" ht="16.5">
      <c r="B43" s="392"/>
      <c r="C43" s="181" t="s">
        <v>447</v>
      </c>
      <c r="D43" s="183">
        <v>0</v>
      </c>
      <c r="E43" s="183">
        <f>L7/100</f>
        <v>0.2</v>
      </c>
      <c r="F43" s="181"/>
      <c r="G43" s="32"/>
      <c r="H43" s="205" t="s">
        <v>677</v>
      </c>
      <c r="I43" s="32">
        <v>800</v>
      </c>
      <c r="J43" s="33">
        <v>900</v>
      </c>
      <c r="K43" s="33">
        <v>1100</v>
      </c>
      <c r="L43" s="33">
        <v>1200</v>
      </c>
      <c r="M43" s="26"/>
      <c r="N43" s="26"/>
      <c r="O43" s="28"/>
      <c r="P43" s="33"/>
      <c r="Q43" s="33"/>
      <c r="R43" s="33" t="s">
        <v>502</v>
      </c>
      <c r="S43" s="32">
        <f>C18</f>
        <v>12.5</v>
      </c>
      <c r="T43" s="156" t="s">
        <v>180</v>
      </c>
      <c r="U43" s="26"/>
      <c r="V43" s="26"/>
      <c r="W43" s="26"/>
      <c r="X43" s="28"/>
      <c r="Y43" s="26"/>
      <c r="Z43" s="26"/>
      <c r="AA43" s="26"/>
      <c r="AB43" s="28"/>
      <c r="AC43" s="26"/>
      <c r="AD43" s="26"/>
      <c r="AE43" s="26"/>
      <c r="AF43" s="26"/>
      <c r="AG43" s="26"/>
      <c r="AH43" s="29"/>
      <c r="AJ43" s="98" t="s">
        <v>116</v>
      </c>
      <c r="AK43" s="99"/>
      <c r="AL43" s="425">
        <f>SUM(AL33:AL39)</f>
        <v>50322.752480660813</v>
      </c>
      <c r="AM43" s="101" t="s">
        <v>113</v>
      </c>
      <c r="AN43" s="28">
        <v>1.9770000000000001</v>
      </c>
      <c r="AO43" s="36" t="s">
        <v>117</v>
      </c>
      <c r="AP43" s="29"/>
      <c r="BA43" s="26"/>
      <c r="BB43" s="26"/>
      <c r="BC43" s="26"/>
      <c r="BD43" s="26"/>
      <c r="BE43" s="26"/>
      <c r="BF43" s="26"/>
      <c r="BG43" s="26"/>
      <c r="BH43" s="26"/>
      <c r="BI43" s="26"/>
      <c r="BJ43" s="26"/>
    </row>
    <row r="44" spans="2:62" ht="18">
      <c r="B44" s="393"/>
      <c r="C44" s="181" t="s">
        <v>448</v>
      </c>
      <c r="D44" s="183">
        <f>W17/100</f>
        <v>0.996</v>
      </c>
      <c r="E44" s="183">
        <f>W19/100</f>
        <v>0.7050254916241806</v>
      </c>
      <c r="F44" s="181"/>
      <c r="G44" s="32"/>
      <c r="H44" s="187" t="s">
        <v>667</v>
      </c>
      <c r="I44" s="174">
        <v>0.58899999999999997</v>
      </c>
      <c r="J44" s="174">
        <v>0.6</v>
      </c>
      <c r="K44" s="174">
        <v>0.61599999999999999</v>
      </c>
      <c r="L44" s="174">
        <v>0.623</v>
      </c>
      <c r="M44" s="26"/>
      <c r="N44" s="26"/>
      <c r="O44" s="28"/>
      <c r="P44" s="33"/>
      <c r="Q44" s="33"/>
      <c r="R44" s="33" t="s">
        <v>520</v>
      </c>
      <c r="S44" s="28">
        <v>90</v>
      </c>
      <c r="T44" s="156" t="s">
        <v>180</v>
      </c>
      <c r="U44" s="26"/>
      <c r="V44" s="26"/>
      <c r="W44" s="26"/>
      <c r="X44" s="28"/>
      <c r="Y44" s="26"/>
      <c r="Z44" s="26"/>
      <c r="AA44" s="26"/>
      <c r="AB44" s="28"/>
      <c r="AC44" s="26"/>
      <c r="AD44" s="26"/>
      <c r="AE44" s="26"/>
      <c r="AF44" s="26"/>
      <c r="AG44" s="26"/>
      <c r="AH44" s="29"/>
      <c r="AJ44" s="102" t="s">
        <v>215</v>
      </c>
      <c r="AK44" s="103"/>
      <c r="AL44" s="426">
        <f>AL43*AN43/1000</f>
        <v>99.488081654266423</v>
      </c>
      <c r="AM44" s="105" t="s">
        <v>118</v>
      </c>
      <c r="AN44" s="26"/>
      <c r="AO44" s="26"/>
      <c r="AP44" s="29"/>
      <c r="BA44" s="26"/>
      <c r="BB44" s="26"/>
      <c r="BC44" s="26"/>
      <c r="BD44" s="26"/>
      <c r="BE44" s="26"/>
      <c r="BF44"/>
      <c r="BG44" s="26"/>
      <c r="BH44" s="26"/>
      <c r="BI44" s="26"/>
      <c r="BJ44" s="26"/>
    </row>
    <row r="45" spans="2:62" ht="18.75" thickBot="1">
      <c r="B45" s="393"/>
      <c r="C45" s="181" t="s">
        <v>449</v>
      </c>
      <c r="D45" s="183">
        <f>V17/100</f>
        <v>4.0000000000000001E-3</v>
      </c>
      <c r="E45" s="183">
        <f>V19/100</f>
        <v>9.4974508375819347E-2</v>
      </c>
      <c r="F45" s="181"/>
      <c r="G45" s="32"/>
      <c r="H45" s="187" t="s">
        <v>668</v>
      </c>
      <c r="I45" s="174">
        <v>0.375</v>
      </c>
      <c r="J45" s="174">
        <v>0.38</v>
      </c>
      <c r="K45" s="174">
        <v>0.38700000000000001</v>
      </c>
      <c r="L45" s="174">
        <v>0.38900000000000001</v>
      </c>
      <c r="M45" s="26"/>
      <c r="N45" s="26"/>
      <c r="O45" s="28"/>
      <c r="P45" s="33"/>
      <c r="Q45" s="33"/>
      <c r="R45" s="198" t="s">
        <v>521</v>
      </c>
      <c r="S45" s="32">
        <f>S44-S43</f>
        <v>77.5</v>
      </c>
      <c r="T45" s="156" t="s">
        <v>180</v>
      </c>
      <c r="U45" s="26"/>
      <c r="V45" s="26"/>
      <c r="W45" s="45" t="s">
        <v>540</v>
      </c>
      <c r="X45" s="44">
        <f>F21</f>
        <v>86</v>
      </c>
      <c r="Y45" s="43" t="s">
        <v>12</v>
      </c>
      <c r="Z45" s="26"/>
      <c r="AA45" s="26"/>
      <c r="AB45" s="28"/>
      <c r="AC45" s="26"/>
      <c r="AD45" s="26"/>
      <c r="AE45" s="26"/>
      <c r="AF45" s="26"/>
      <c r="AG45" s="26"/>
      <c r="AH45" s="29"/>
      <c r="AJ45" s="106" t="s">
        <v>216</v>
      </c>
      <c r="AK45" s="107"/>
      <c r="AL45" s="108">
        <f>SUM(AL33:AL39)*AN43/1000</f>
        <v>99.488081654266423</v>
      </c>
      <c r="AM45" s="109" t="s">
        <v>217</v>
      </c>
      <c r="AN45" s="26"/>
      <c r="AO45" s="26"/>
      <c r="AP45" s="29"/>
      <c r="BA45" s="26"/>
      <c r="BB45" s="26"/>
      <c r="BC45" s="26"/>
      <c r="BD45" s="26"/>
      <c r="BE45" s="26"/>
      <c r="BF45" s="26"/>
      <c r="BG45" s="26"/>
      <c r="BH45" s="26"/>
      <c r="BI45" s="26"/>
      <c r="BJ45" s="26"/>
    </row>
    <row r="46" spans="2:62" ht="18">
      <c r="B46" s="393"/>
      <c r="C46" s="181" t="s">
        <v>701</v>
      </c>
      <c r="D46" s="183">
        <v>1</v>
      </c>
      <c r="E46" s="183">
        <v>1</v>
      </c>
      <c r="F46" s="181" t="s">
        <v>450</v>
      </c>
      <c r="G46" s="32"/>
      <c r="H46" s="187" t="s">
        <v>669</v>
      </c>
      <c r="I46" s="174">
        <v>0.35399999999999998</v>
      </c>
      <c r="J46" s="174">
        <v>0.35799999999999998</v>
      </c>
      <c r="K46" s="174">
        <v>0.36699999999999999</v>
      </c>
      <c r="L46" s="174">
        <v>0.371</v>
      </c>
      <c r="M46" s="26"/>
      <c r="N46" s="26"/>
      <c r="O46" s="28"/>
      <c r="P46" s="33"/>
      <c r="Q46" s="33"/>
      <c r="R46" s="33" t="s">
        <v>522</v>
      </c>
      <c r="S46" s="32">
        <v>0.29799999999999999</v>
      </c>
      <c r="T46" s="32" t="s">
        <v>523</v>
      </c>
      <c r="U46" s="26"/>
      <c r="V46" s="26"/>
      <c r="W46" s="26"/>
      <c r="X46" s="28"/>
      <c r="Y46" s="26"/>
      <c r="Z46" s="26"/>
      <c r="AA46" s="26"/>
      <c r="AB46" s="28"/>
      <c r="AC46" s="27" t="s">
        <v>532</v>
      </c>
      <c r="AD46" s="33"/>
      <c r="AE46" s="187"/>
      <c r="AF46" s="187"/>
      <c r="AG46" s="26"/>
      <c r="AH46" s="29"/>
      <c r="AJ46" s="34"/>
      <c r="AK46" s="26"/>
      <c r="AL46" s="26"/>
      <c r="AM46" s="26"/>
      <c r="AN46" s="26"/>
      <c r="AO46" s="26"/>
      <c r="AP46" s="29"/>
      <c r="BA46" s="26"/>
      <c r="BB46" s="26"/>
      <c r="BC46" s="26"/>
      <c r="BD46" s="26"/>
      <c r="BE46" s="26"/>
      <c r="BF46" s="26"/>
      <c r="BG46" s="26"/>
      <c r="BH46" s="26"/>
      <c r="BI46" s="26"/>
      <c r="BJ46" s="26"/>
    </row>
    <row r="47" spans="2:62" ht="18.75" thickBot="1">
      <c r="B47" s="393"/>
      <c r="C47" s="181" t="s">
        <v>702</v>
      </c>
      <c r="D47" s="183">
        <v>0.24</v>
      </c>
      <c r="E47" s="183">
        <v>0.24</v>
      </c>
      <c r="F47" s="181"/>
      <c r="G47" s="32"/>
      <c r="H47" s="187" t="s">
        <v>670</v>
      </c>
      <c r="I47" s="174">
        <v>0.45</v>
      </c>
      <c r="J47" s="174">
        <v>0.46400000000000002</v>
      </c>
      <c r="K47" s="174">
        <v>0.48899999999999999</v>
      </c>
      <c r="L47" s="174">
        <v>0.5</v>
      </c>
      <c r="M47" s="26"/>
      <c r="N47" s="26"/>
      <c r="O47" s="28"/>
      <c r="P47" s="33"/>
      <c r="Q47" s="33"/>
      <c r="R47" s="33"/>
      <c r="S47" s="32">
        <f>S46*S42*S45</f>
        <v>328889.5950768441</v>
      </c>
      <c r="T47" s="32" t="s">
        <v>149</v>
      </c>
      <c r="U47" s="26"/>
      <c r="V47" s="26"/>
      <c r="W47" s="26"/>
      <c r="X47" s="28">
        <f>X45/100*S63</f>
        <v>312920.4658318091</v>
      </c>
      <c r="Y47" s="26" t="s">
        <v>110</v>
      </c>
      <c r="Z47" s="26"/>
      <c r="AA47" s="26"/>
      <c r="AB47" s="28"/>
      <c r="AC47" s="8" t="s">
        <v>597</v>
      </c>
      <c r="AD47" s="40"/>
      <c r="AE47" s="199">
        <f>(D38*V17/100*24/1000)+(E38*V19/100*24/1000)</f>
        <v>1.7477340331536775</v>
      </c>
      <c r="AF47" s="200" t="s">
        <v>41</v>
      </c>
      <c r="AG47" s="26"/>
      <c r="AH47" s="29"/>
      <c r="AJ47" s="34"/>
      <c r="AK47" s="26"/>
      <c r="AL47" s="26"/>
      <c r="AM47" s="26"/>
      <c r="AN47" s="26"/>
      <c r="AO47" s="26"/>
      <c r="AP47" s="29"/>
      <c r="BA47" s="26"/>
      <c r="BB47" s="26"/>
      <c r="BC47" s="26"/>
      <c r="BD47" s="26"/>
      <c r="BE47" s="26"/>
      <c r="BF47" s="26"/>
      <c r="BG47" s="26"/>
      <c r="BH47" s="26"/>
      <c r="BI47" s="26"/>
      <c r="BJ47" s="26"/>
    </row>
    <row r="48" spans="2:62" ht="18.75" thickBot="1">
      <c r="B48" s="394"/>
      <c r="C48" s="181" t="s">
        <v>703</v>
      </c>
      <c r="D48" s="183">
        <v>1</v>
      </c>
      <c r="E48" s="183">
        <v>1</v>
      </c>
      <c r="F48" s="181"/>
      <c r="G48" s="32"/>
      <c r="H48" s="187" t="s">
        <v>671</v>
      </c>
      <c r="I48" s="174">
        <v>0.59299999999999997</v>
      </c>
      <c r="J48" s="174">
        <v>0.59399999999999997</v>
      </c>
      <c r="K48" s="174">
        <v>0.59499999999999997</v>
      </c>
      <c r="L48" s="174">
        <v>0.59799999999999998</v>
      </c>
      <c r="M48" s="26"/>
      <c r="N48" s="26"/>
      <c r="O48" s="28"/>
      <c r="P48" s="33"/>
      <c r="Q48" s="33"/>
      <c r="R48" s="53" t="s">
        <v>674</v>
      </c>
      <c r="S48" s="54">
        <f>S47*24*0.004184</f>
        <v>33025.777579236375</v>
      </c>
      <c r="T48" s="55" t="s">
        <v>110</v>
      </c>
      <c r="U48" s="26"/>
      <c r="V48" s="26"/>
      <c r="W48" s="213" t="s">
        <v>561</v>
      </c>
      <c r="X48" s="214">
        <f>S63*(X45/100)/X42</f>
        <v>117905.22450331919</v>
      </c>
      <c r="Y48" s="213" t="s">
        <v>551</v>
      </c>
      <c r="Z48" s="26"/>
      <c r="AA48" s="26"/>
      <c r="AB48" s="28"/>
      <c r="AC48" s="336" t="s">
        <v>726</v>
      </c>
      <c r="AD48" s="40"/>
      <c r="AE48" s="201">
        <f>SUM(D38:E38)*24*0.05/1000</f>
        <v>1.9906374400000002</v>
      </c>
      <c r="AF48" s="200" t="s">
        <v>41</v>
      </c>
      <c r="AG48" s="26"/>
      <c r="AH48" s="29"/>
      <c r="AJ48" s="34"/>
      <c r="AK48" s="26"/>
      <c r="AL48" s="26"/>
      <c r="AM48" s="26"/>
      <c r="AN48" s="26"/>
      <c r="AO48" s="26"/>
      <c r="AP48" s="29"/>
      <c r="BA48" s="26"/>
      <c r="BB48" s="36"/>
      <c r="BC48" s="26"/>
      <c r="BD48" s="28"/>
      <c r="BE48" s="36"/>
      <c r="BF48" s="26"/>
      <c r="BG48" s="26"/>
      <c r="BH48" s="26"/>
      <c r="BI48" s="26"/>
      <c r="BJ48" s="26"/>
    </row>
    <row r="49" spans="2:62">
      <c r="B49" s="215" t="s">
        <v>704</v>
      </c>
      <c r="C49" s="180"/>
      <c r="D49" s="179">
        <f>D38*AQ9</f>
        <v>3506097.4666666668</v>
      </c>
      <c r="E49" s="179">
        <f>E38*AR9</f>
        <v>2844508.0335407997</v>
      </c>
      <c r="F49" s="180" t="s">
        <v>443</v>
      </c>
      <c r="G49" s="32"/>
      <c r="H49" s="187" t="s">
        <v>469</v>
      </c>
      <c r="I49" s="174">
        <v>0.34100000000000003</v>
      </c>
      <c r="J49" s="174">
        <v>0.34899999999999998</v>
      </c>
      <c r="K49" s="174">
        <v>0.35699999999999998</v>
      </c>
      <c r="L49" s="174">
        <v>0.36299999999999999</v>
      </c>
      <c r="M49" s="26"/>
      <c r="N49" s="26"/>
      <c r="O49" s="28"/>
      <c r="P49" s="33"/>
      <c r="Q49" s="33"/>
      <c r="U49" s="26"/>
      <c r="V49" s="26"/>
      <c r="W49" s="213"/>
      <c r="X49" s="214">
        <f>X48/1000</f>
        <v>117.90522450331919</v>
      </c>
      <c r="Y49" s="213" t="s">
        <v>552</v>
      </c>
      <c r="Z49" s="26"/>
      <c r="AA49" s="26"/>
      <c r="AB49" s="28"/>
      <c r="AC49" s="26"/>
      <c r="AD49" s="26"/>
      <c r="AE49" s="26"/>
      <c r="AF49" s="26"/>
      <c r="AG49" s="26"/>
      <c r="AH49" s="29"/>
      <c r="AJ49" s="34"/>
      <c r="AK49" s="26"/>
      <c r="AL49" s="26"/>
      <c r="AM49" s="26"/>
      <c r="AN49" s="26"/>
      <c r="AO49" s="26"/>
      <c r="AP49" s="29"/>
      <c r="BA49" s="26"/>
      <c r="BB49" s="36"/>
      <c r="BC49" s="26"/>
      <c r="BD49" s="28"/>
      <c r="BE49" s="36"/>
      <c r="BF49" s="26"/>
      <c r="BG49" s="26"/>
      <c r="BH49" s="26"/>
      <c r="BI49" s="26"/>
      <c r="BJ49" s="26"/>
    </row>
    <row r="50" spans="2:62">
      <c r="B50" s="215" t="s">
        <v>707</v>
      </c>
      <c r="C50" s="180"/>
      <c r="D50" s="179">
        <f>D51*D38*D52*D53</f>
        <v>157519.54101312003</v>
      </c>
      <c r="E50" s="184">
        <f>E51*E38*E52*E53</f>
        <v>142390.17417710891</v>
      </c>
      <c r="F50" s="180" t="s">
        <v>443</v>
      </c>
      <c r="G50" s="32"/>
      <c r="H50" s="26"/>
      <c r="I50" s="26"/>
      <c r="J50" s="33"/>
      <c r="K50" s="32"/>
      <c r="L50" s="33"/>
      <c r="M50" s="33"/>
      <c r="N50" s="33"/>
      <c r="O50" s="32"/>
      <c r="P50" s="33"/>
      <c r="Q50" s="33"/>
      <c r="R50" s="43" t="s">
        <v>95</v>
      </c>
      <c r="S50" s="289">
        <v>60</v>
      </c>
      <c r="T50" s="43" t="s">
        <v>12</v>
      </c>
      <c r="U50" s="26"/>
      <c r="V50" s="26"/>
      <c r="W50" s="213"/>
      <c r="X50" s="214">
        <f>X49/24</f>
        <v>4.9127176876382999</v>
      </c>
      <c r="Y50" s="213" t="s">
        <v>553</v>
      </c>
      <c r="Z50" s="26"/>
      <c r="AA50" s="26"/>
      <c r="AB50" s="28"/>
      <c r="AC50" s="26"/>
      <c r="AD50" s="26"/>
      <c r="AE50" s="26"/>
      <c r="AF50" s="26"/>
      <c r="AG50" s="26"/>
      <c r="AH50" s="29"/>
      <c r="AJ50" s="34"/>
      <c r="AK50" s="26"/>
      <c r="AL50" s="26"/>
      <c r="AM50" s="26"/>
      <c r="AN50" s="26"/>
      <c r="AO50" s="26"/>
      <c r="AP50" s="29"/>
      <c r="BA50" s="26"/>
      <c r="BB50" s="36"/>
      <c r="BC50" s="26"/>
      <c r="BD50" s="26"/>
      <c r="BE50" s="36"/>
      <c r="BF50" s="84"/>
      <c r="BG50" s="3"/>
      <c r="BH50" s="26"/>
      <c r="BI50" s="26"/>
      <c r="BJ50" s="26"/>
    </row>
    <row r="51" spans="2:62">
      <c r="B51" s="392"/>
      <c r="C51" s="181" t="s">
        <v>708</v>
      </c>
      <c r="D51" s="196">
        <f>AH10</f>
        <v>8.0310240000000004</v>
      </c>
      <c r="E51" s="196">
        <f>AI10</f>
        <v>9.2933016000000013</v>
      </c>
      <c r="F51" s="181" t="s">
        <v>494</v>
      </c>
      <c r="G51" s="32"/>
      <c r="H51" s="26"/>
      <c r="I51" s="26"/>
      <c r="J51" s="33"/>
      <c r="K51" s="32"/>
      <c r="L51" s="33"/>
      <c r="M51" s="33"/>
      <c r="N51" s="33"/>
      <c r="O51" s="32"/>
      <c r="P51" s="33"/>
      <c r="Q51" s="33"/>
      <c r="R51" s="36" t="s">
        <v>729</v>
      </c>
      <c r="S51" s="28">
        <v>24516.6</v>
      </c>
      <c r="T51" s="36" t="s">
        <v>96</v>
      </c>
      <c r="U51" s="26"/>
      <c r="V51" s="26"/>
      <c r="W51" s="26"/>
      <c r="X51" s="28"/>
      <c r="Y51" s="26"/>
      <c r="Z51" s="26"/>
      <c r="AA51" s="26"/>
      <c r="AB51" s="28"/>
      <c r="AC51" s="26"/>
      <c r="AD51" s="26"/>
      <c r="AE51" s="26"/>
      <c r="AF51" s="26"/>
      <c r="AG51" s="26"/>
      <c r="AH51" s="29"/>
      <c r="AJ51" s="34"/>
      <c r="AK51" s="26"/>
      <c r="AL51" s="26"/>
      <c r="AM51" s="26"/>
      <c r="AN51" s="26"/>
      <c r="AO51" s="26"/>
      <c r="AP51" s="29"/>
      <c r="BA51" s="26"/>
      <c r="BB51" s="36"/>
      <c r="BC51" s="26"/>
      <c r="BD51" s="26"/>
      <c r="BE51" s="36"/>
      <c r="BF51" s="26"/>
      <c r="BG51" s="26"/>
      <c r="BH51" s="26"/>
      <c r="BI51" s="26"/>
      <c r="BJ51" s="26"/>
    </row>
    <row r="52" spans="2:62">
      <c r="B52" s="393"/>
      <c r="C52" s="181" t="s">
        <v>709</v>
      </c>
      <c r="D52" s="185">
        <v>0.23400000000000001</v>
      </c>
      <c r="E52" s="181">
        <v>0.23400000000000001</v>
      </c>
      <c r="F52" s="181" t="s">
        <v>451</v>
      </c>
      <c r="G52" s="32"/>
      <c r="H52" s="33"/>
      <c r="I52" s="32"/>
      <c r="J52" s="33"/>
      <c r="K52" s="32"/>
      <c r="L52" s="33"/>
      <c r="M52" s="33"/>
      <c r="N52" s="33"/>
      <c r="O52" s="33"/>
      <c r="P52" s="32"/>
      <c r="Q52" s="33"/>
      <c r="R52" s="36"/>
      <c r="S52" s="28">
        <f>S42/(S50/100)*S51/3600/1000</f>
        <v>161.63620967062289</v>
      </c>
      <c r="T52" s="36" t="s">
        <v>97</v>
      </c>
      <c r="U52" s="33"/>
      <c r="V52" s="33"/>
      <c r="W52" s="33"/>
      <c r="X52" s="32"/>
      <c r="Y52" s="33"/>
      <c r="Z52" s="33"/>
      <c r="AA52" s="33"/>
      <c r="AB52" s="33"/>
      <c r="AC52" s="33"/>
      <c r="AD52" s="33"/>
      <c r="AE52" s="33"/>
      <c r="AF52" s="33"/>
      <c r="AG52" s="26"/>
      <c r="AH52" s="29"/>
      <c r="AJ52" s="34"/>
      <c r="AK52" s="26"/>
      <c r="AL52" s="26"/>
      <c r="AM52" s="26"/>
      <c r="AN52" s="26"/>
      <c r="AO52" s="26"/>
      <c r="AP52" s="29"/>
      <c r="BA52" s="26"/>
      <c r="BB52" s="36"/>
      <c r="BC52" s="26"/>
      <c r="BD52" s="26"/>
      <c r="BE52" s="36"/>
      <c r="BF52" s="97"/>
      <c r="BG52" s="26"/>
      <c r="BH52" s="26"/>
      <c r="BI52" s="26"/>
      <c r="BJ52" s="26"/>
    </row>
    <row r="53" spans="2:62" ht="15.75" thickBot="1">
      <c r="B53" s="394"/>
      <c r="C53" s="181" t="s">
        <v>710</v>
      </c>
      <c r="D53" s="186">
        <v>90</v>
      </c>
      <c r="E53" s="181">
        <v>90</v>
      </c>
      <c r="F53" s="181"/>
      <c r="G53" s="32"/>
      <c r="H53" s="33" t="s">
        <v>693</v>
      </c>
      <c r="I53" s="33"/>
      <c r="J53" s="33"/>
      <c r="K53" s="32"/>
      <c r="L53" s="26"/>
      <c r="M53" s="33"/>
      <c r="N53" s="33"/>
      <c r="O53" s="33"/>
      <c r="P53" s="32"/>
      <c r="Q53" s="33"/>
      <c r="R53" s="49"/>
      <c r="S53" s="32">
        <f>S52*860</f>
        <v>139007.14031673569</v>
      </c>
      <c r="T53" s="49" t="s">
        <v>98</v>
      </c>
      <c r="U53" s="33"/>
      <c r="V53" s="120"/>
      <c r="W53" s="65" t="s">
        <v>467</v>
      </c>
      <c r="X53" s="49"/>
      <c r="Y53" s="33"/>
      <c r="Z53" s="33"/>
      <c r="AA53" s="33"/>
      <c r="AB53" s="33"/>
      <c r="AC53" s="33"/>
      <c r="AD53" s="33"/>
      <c r="AE53" s="33"/>
      <c r="AF53" s="33"/>
      <c r="AG53" s="26"/>
      <c r="AH53" s="29"/>
      <c r="AJ53" s="34"/>
      <c r="AK53" s="26"/>
      <c r="AL53" s="26"/>
      <c r="AM53" s="26"/>
      <c r="AN53" s="26"/>
      <c r="AO53" s="26"/>
      <c r="AP53" s="29"/>
      <c r="BA53" s="26"/>
      <c r="BB53" s="26"/>
      <c r="BC53" s="26"/>
      <c r="BD53" s="26"/>
      <c r="BE53" s="26"/>
      <c r="BF53" s="26"/>
      <c r="BG53" s="26"/>
      <c r="BH53" s="26"/>
      <c r="BI53" s="26"/>
      <c r="BJ53" s="26"/>
    </row>
    <row r="54" spans="2:62" ht="17.25" thickBot="1">
      <c r="B54" s="216"/>
      <c r="C54" s="187"/>
      <c r="D54" s="187"/>
      <c r="E54" s="187"/>
      <c r="F54" s="187"/>
      <c r="G54" s="32"/>
      <c r="H54" s="3"/>
      <c r="J54" s="3"/>
      <c r="K54" s="32"/>
      <c r="L54" s="49"/>
      <c r="M54" s="26" t="s">
        <v>516</v>
      </c>
      <c r="N54" s="2"/>
      <c r="O54" s="33"/>
      <c r="P54" s="3"/>
      <c r="Q54" s="32"/>
      <c r="R54" s="50" t="s">
        <v>150</v>
      </c>
      <c r="S54" s="51">
        <f>S53*0.004184*24</f>
        <v>13958.541002045331</v>
      </c>
      <c r="T54" s="58" t="s">
        <v>109</v>
      </c>
      <c r="U54" s="33"/>
      <c r="V54" s="33"/>
      <c r="W54" s="32"/>
      <c r="X54" s="49"/>
      <c r="Y54" s="33"/>
      <c r="Z54" s="33"/>
      <c r="AA54" s="33"/>
      <c r="AB54" s="33"/>
      <c r="AC54" s="33"/>
      <c r="AD54" s="33"/>
      <c r="AE54" s="33"/>
      <c r="AF54" s="33"/>
      <c r="AG54" s="26"/>
      <c r="AH54" s="29"/>
      <c r="AJ54" s="34"/>
      <c r="AK54" s="26"/>
      <c r="AL54" s="26"/>
      <c r="AM54" s="26"/>
      <c r="AN54" s="26"/>
      <c r="AO54" s="26"/>
      <c r="AP54" s="29"/>
      <c r="BA54" s="26"/>
      <c r="BB54" s="26"/>
      <c r="BC54" s="26"/>
      <c r="BD54" s="26"/>
      <c r="BE54" s="26"/>
      <c r="BF54" s="26"/>
      <c r="BG54" s="26"/>
      <c r="BH54" s="26"/>
      <c r="BI54" s="26"/>
      <c r="BJ54" s="26"/>
    </row>
    <row r="55" spans="2:62" ht="17.25" thickBot="1">
      <c r="B55" s="385" t="s">
        <v>699</v>
      </c>
      <c r="C55" s="386"/>
      <c r="D55" s="175" t="s">
        <v>298</v>
      </c>
      <c r="E55" s="175" t="s">
        <v>495</v>
      </c>
      <c r="F55" s="175" t="s">
        <v>698</v>
      </c>
      <c r="G55" s="32"/>
      <c r="H55" s="205" t="s">
        <v>677</v>
      </c>
      <c r="I55" s="32">
        <v>800</v>
      </c>
      <c r="J55" s="33">
        <v>900</v>
      </c>
      <c r="K55" s="33">
        <v>1100</v>
      </c>
      <c r="L55" s="33">
        <v>1200</v>
      </c>
      <c r="M55" s="33" t="s">
        <v>515</v>
      </c>
      <c r="N55" s="49" t="s">
        <v>511</v>
      </c>
      <c r="O55" s="33" t="s">
        <v>512</v>
      </c>
      <c r="P55" s="33"/>
      <c r="Q55" s="32"/>
      <c r="R55" s="26"/>
      <c r="S55" s="26"/>
      <c r="T55" s="28"/>
      <c r="U55" s="33"/>
      <c r="V55" s="33"/>
      <c r="W55" s="44" t="s">
        <v>554</v>
      </c>
      <c r="X55" s="45">
        <f>F22</f>
        <v>30</v>
      </c>
      <c r="Y55" s="45" t="s">
        <v>12</v>
      </c>
      <c r="Z55" s="33"/>
      <c r="AA55" s="33"/>
      <c r="AB55" s="33"/>
      <c r="AC55" s="33"/>
      <c r="AD55" s="33"/>
      <c r="AE55" s="33"/>
      <c r="AF55" s="33"/>
      <c r="AG55" s="26"/>
      <c r="AH55" s="29"/>
      <c r="AJ55" s="34"/>
      <c r="AK55" s="26"/>
      <c r="AL55" s="26"/>
      <c r="AM55" s="26"/>
      <c r="AN55" s="26"/>
      <c r="AO55" s="26"/>
      <c r="AP55" s="29"/>
      <c r="BA55" s="26"/>
      <c r="BB55" s="26"/>
      <c r="BC55" s="26"/>
      <c r="BD55" s="26"/>
      <c r="BE55" s="26"/>
      <c r="BF55" s="26"/>
      <c r="BG55" s="26"/>
      <c r="BH55" s="26"/>
      <c r="BI55" s="26"/>
      <c r="BJ55" s="26"/>
    </row>
    <row r="56" spans="2:62" ht="19.5" thickTop="1" thickBot="1">
      <c r="B56" s="387" t="s">
        <v>497</v>
      </c>
      <c r="C56" s="388"/>
      <c r="D56" s="188">
        <f>SUM(D58:D59,D61:D62)</f>
        <v>505273.88912000007</v>
      </c>
      <c r="E56" s="188">
        <f>SUM(E58:E59,E61:E62)</f>
        <v>430625.18644754821</v>
      </c>
      <c r="F56" s="189"/>
      <c r="G56" s="32"/>
      <c r="H56" s="187" t="s">
        <v>667</v>
      </c>
      <c r="I56" s="174">
        <f>I44*$AQ$21</f>
        <v>5.6686161901317929E-2</v>
      </c>
      <c r="J56" s="170">
        <f t="shared" ref="J56:L56" si="4">J44*$AQ$21</f>
        <v>5.7744816877403661E-2</v>
      </c>
      <c r="K56" s="174">
        <f t="shared" si="4"/>
        <v>5.9284678660801095E-2</v>
      </c>
      <c r="L56" s="174">
        <f t="shared" si="4"/>
        <v>5.9958368191037476E-2</v>
      </c>
      <c r="M56" s="197">
        <f>(J56-I56)/100</f>
        <v>1.0586549760857323E-5</v>
      </c>
      <c r="N56" s="197">
        <f>(K56-J56)/200</f>
        <v>7.6993089169871685E-6</v>
      </c>
      <c r="O56" s="197">
        <f t="shared" ref="O56:O60" si="5">(L56-K56)/200</f>
        <v>3.3684476511819037E-6</v>
      </c>
      <c r="P56" s="33"/>
      <c r="Q56" s="33"/>
      <c r="R56" s="88" t="s">
        <v>591</v>
      </c>
      <c r="S56" s="26"/>
      <c r="T56" s="28"/>
      <c r="U56" s="33"/>
      <c r="V56" s="120"/>
      <c r="W56" s="50"/>
      <c r="X56" s="51">
        <f>X47*X55/100</f>
        <v>93876.139749542737</v>
      </c>
      <c r="Y56" s="58" t="s">
        <v>110</v>
      </c>
      <c r="Z56" s="33"/>
      <c r="AA56" s="33"/>
      <c r="AB56" s="33"/>
      <c r="AC56" s="33"/>
      <c r="AD56" s="33"/>
      <c r="AE56" s="33"/>
      <c r="AF56" s="33"/>
      <c r="AG56" s="26"/>
      <c r="AH56" s="29"/>
      <c r="AJ56" s="34"/>
      <c r="AK56" s="26"/>
      <c r="AL56" s="26"/>
      <c r="AM56" s="26"/>
      <c r="AN56" s="26"/>
      <c r="AO56" s="26"/>
      <c r="AP56" s="29"/>
      <c r="BA56" s="26"/>
      <c r="BB56" s="26"/>
      <c r="BC56" s="26"/>
      <c r="BD56" s="26"/>
      <c r="BE56" s="26"/>
      <c r="BF56" s="26"/>
      <c r="BG56" s="26"/>
      <c r="BH56" s="26"/>
      <c r="BI56" s="26"/>
      <c r="BJ56" s="26"/>
    </row>
    <row r="57" spans="2:62" ht="18">
      <c r="B57" s="217" t="s">
        <v>452</v>
      </c>
      <c r="C57" s="190"/>
      <c r="D57" s="191"/>
      <c r="E57" s="191"/>
      <c r="F57" s="181" t="s">
        <v>712</v>
      </c>
      <c r="G57" s="32"/>
      <c r="H57" s="187" t="s">
        <v>668</v>
      </c>
      <c r="I57" s="174">
        <f>I45*$AQ$22</f>
        <v>3.3965180730520649E-2</v>
      </c>
      <c r="J57" s="170">
        <f t="shared" ref="J57:L57" si="6">J45*$AQ$22</f>
        <v>3.4418049806927593E-2</v>
      </c>
      <c r="K57" s="174">
        <f t="shared" si="6"/>
        <v>3.5052066513897313E-2</v>
      </c>
      <c r="L57" s="174">
        <f t="shared" si="6"/>
        <v>3.5233214144460089E-2</v>
      </c>
      <c r="M57" s="197">
        <f t="shared" ref="M57:M61" si="7">(J57-I57)/100</f>
        <v>4.5286907640694485E-6</v>
      </c>
      <c r="N57" s="197">
        <f t="shared" ref="N57:N61" si="8">(K57-J57)/200</f>
        <v>3.1700835348486001E-6</v>
      </c>
      <c r="O57" s="197">
        <f t="shared" si="5"/>
        <v>9.0573815281387582E-7</v>
      </c>
      <c r="P57" s="33"/>
      <c r="Q57" s="33"/>
      <c r="R57" s="26" t="s">
        <v>536</v>
      </c>
      <c r="S57" s="26"/>
      <c r="T57" s="28"/>
      <c r="U57" s="33"/>
      <c r="V57" s="33"/>
      <c r="W57" s="33"/>
      <c r="X57" s="49"/>
      <c r="Y57" s="33"/>
      <c r="Z57" s="33"/>
      <c r="AA57" s="33"/>
      <c r="AB57" s="33"/>
      <c r="AC57" s="33"/>
      <c r="AD57" s="33"/>
      <c r="AE57" s="33"/>
      <c r="AF57" s="33"/>
      <c r="AG57" s="26"/>
      <c r="AH57" s="29"/>
      <c r="AJ57" s="34"/>
      <c r="AK57" s="26"/>
      <c r="AL57" s="26"/>
      <c r="AM57" s="26"/>
      <c r="AN57" s="26"/>
      <c r="AO57" s="26"/>
      <c r="AP57" s="29"/>
      <c r="BA57" s="26"/>
      <c r="BB57" s="26"/>
      <c r="BC57" s="26"/>
      <c r="BD57" s="26"/>
      <c r="BE57" s="26"/>
      <c r="BF57" s="26"/>
      <c r="BG57" s="26"/>
      <c r="BH57" s="26"/>
      <c r="BI57" s="26"/>
      <c r="BJ57" s="26"/>
    </row>
    <row r="58" spans="2:62" ht="18.75" thickBot="1">
      <c r="B58" s="383" t="s">
        <v>453</v>
      </c>
      <c r="C58" s="384"/>
      <c r="D58" s="192">
        <f>D49*0.05</f>
        <v>175304.87333333335</v>
      </c>
      <c r="E58" s="192">
        <f>E49*0.05</f>
        <v>142225.40167704</v>
      </c>
      <c r="F58" s="180" t="s">
        <v>633</v>
      </c>
      <c r="G58" s="32"/>
      <c r="H58" s="187" t="s">
        <v>669</v>
      </c>
      <c r="I58" s="174">
        <f>I46*$AQ$23</f>
        <v>0.25670308521864282</v>
      </c>
      <c r="J58" s="170">
        <f t="shared" ref="J58:L58" si="9">J46*$AQ$23</f>
        <v>0.25960368505162185</v>
      </c>
      <c r="K58" s="174">
        <f t="shared" si="9"/>
        <v>0.26613003467582463</v>
      </c>
      <c r="L58" s="174">
        <f t="shared" si="9"/>
        <v>0.26903063450880366</v>
      </c>
      <c r="M58" s="197">
        <f t="shared" si="7"/>
        <v>2.9005998329790229E-5</v>
      </c>
      <c r="N58" s="197">
        <f t="shared" si="8"/>
        <v>3.2631748121013936E-5</v>
      </c>
      <c r="O58" s="197">
        <f t="shared" si="5"/>
        <v>1.4502999164895115E-5</v>
      </c>
      <c r="P58" s="33"/>
      <c r="Q58" s="33"/>
      <c r="R58" s="26" t="s">
        <v>537</v>
      </c>
      <c r="S58" s="26">
        <v>10</v>
      </c>
      <c r="T58" s="28" t="s">
        <v>12</v>
      </c>
      <c r="U58" s="33"/>
      <c r="V58" s="33"/>
      <c r="W58" s="33"/>
      <c r="X58" s="49"/>
      <c r="Y58" s="33"/>
      <c r="Z58" s="33"/>
      <c r="AA58" s="33"/>
      <c r="AB58" s="33"/>
      <c r="AC58" s="33"/>
      <c r="AD58" s="33"/>
      <c r="AE58" s="33"/>
      <c r="AF58" s="33"/>
      <c r="AG58" s="26"/>
      <c r="AH58" s="29"/>
      <c r="AJ58" s="34"/>
      <c r="AK58" s="26"/>
      <c r="AL58" s="26"/>
      <c r="AM58" s="26"/>
      <c r="AN58" s="26"/>
      <c r="AO58" s="26"/>
      <c r="AP58" s="29"/>
      <c r="BA58" s="26"/>
      <c r="BB58" s="26"/>
      <c r="BC58" s="26"/>
      <c r="BD58" s="26"/>
      <c r="BE58" s="26"/>
      <c r="BF58" s="26"/>
      <c r="BG58" s="26"/>
      <c r="BH58" s="26"/>
      <c r="BI58" s="26"/>
      <c r="BJ58" s="26"/>
    </row>
    <row r="59" spans="2:62" ht="18.75" thickBot="1">
      <c r="B59" s="383" t="s">
        <v>455</v>
      </c>
      <c r="C59" s="384"/>
      <c r="D59" s="193">
        <f>D38*D44*D39*D60</f>
        <v>84542.193120000011</v>
      </c>
      <c r="E59" s="193">
        <f>E38*E44*E39*E60</f>
        <v>89284.222422652238</v>
      </c>
      <c r="F59" s="180" t="s">
        <v>443</v>
      </c>
      <c r="G59" s="32"/>
      <c r="H59" s="187" t="s">
        <v>670</v>
      </c>
      <c r="I59" s="174">
        <f>I47*$AQ$24</f>
        <v>3.9494865172570483E-2</v>
      </c>
      <c r="J59" s="170">
        <f t="shared" ref="J59:L59" si="10">J47*$AQ$24</f>
        <v>4.0723594311272676E-2</v>
      </c>
      <c r="K59" s="174">
        <f t="shared" si="10"/>
        <v>4.2917753487526591E-2</v>
      </c>
      <c r="L59" s="174">
        <f t="shared" si="10"/>
        <v>4.3883183525078313E-2</v>
      </c>
      <c r="M59" s="197">
        <f t="shared" si="7"/>
        <v>1.2287291387021934E-5</v>
      </c>
      <c r="N59" s="197">
        <f t="shared" si="8"/>
        <v>1.0970795881269577E-5</v>
      </c>
      <c r="O59" s="197">
        <f t="shared" si="5"/>
        <v>4.8271501877586094E-6</v>
      </c>
      <c r="P59" s="33"/>
      <c r="Q59" s="33"/>
      <c r="R59" s="53" t="s">
        <v>675</v>
      </c>
      <c r="S59" s="54">
        <f>S38*S58/100</f>
        <v>44098.531595601075</v>
      </c>
      <c r="T59" s="55" t="s">
        <v>110</v>
      </c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26"/>
      <c r="AH59" s="29"/>
      <c r="AJ59" s="34"/>
      <c r="AK59" s="26"/>
      <c r="AL59" s="26"/>
      <c r="AM59" s="26"/>
      <c r="AN59" s="26"/>
      <c r="AO59" s="26"/>
      <c r="AP59" s="29"/>
      <c r="BA59" s="26"/>
      <c r="BB59" s="26"/>
      <c r="BC59" s="26"/>
      <c r="BD59" s="26"/>
      <c r="BE59" s="26"/>
      <c r="BF59" s="26"/>
      <c r="BG59" s="26"/>
      <c r="BH59" s="26"/>
      <c r="BI59" s="26"/>
      <c r="BJ59" s="26"/>
    </row>
    <row r="60" spans="2:62" ht="18">
      <c r="B60" s="212"/>
      <c r="C60" s="181" t="s">
        <v>456</v>
      </c>
      <c r="D60" s="181">
        <v>375</v>
      </c>
      <c r="E60" s="181">
        <v>375</v>
      </c>
      <c r="F60" s="181"/>
      <c r="G60" s="32"/>
      <c r="H60" s="187" t="s">
        <v>671</v>
      </c>
      <c r="I60" s="174">
        <f>I48*$AQ$25</f>
        <v>1.165604035765703E-6</v>
      </c>
      <c r="J60" s="170">
        <f t="shared" ref="J60:L60" si="11">J48*$AQ$25</f>
        <v>1.1675696412223063E-6</v>
      </c>
      <c r="K60" s="174">
        <f t="shared" si="11"/>
        <v>1.1695352466789093E-6</v>
      </c>
      <c r="L60" s="174">
        <f t="shared" si="11"/>
        <v>1.175432063048719E-6</v>
      </c>
      <c r="M60" s="197">
        <f t="shared" si="7"/>
        <v>1.9656054566032769E-11</v>
      </c>
      <c r="N60" s="197">
        <f t="shared" si="8"/>
        <v>9.8280272830153261E-12</v>
      </c>
      <c r="O60" s="197">
        <f t="shared" si="5"/>
        <v>2.9484081849048096E-11</v>
      </c>
      <c r="P60" s="33"/>
      <c r="Q60" s="33"/>
      <c r="R60" s="49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26"/>
      <c r="AH60" s="29"/>
      <c r="AJ60" s="34"/>
      <c r="AK60" s="26"/>
      <c r="AL60" s="26"/>
      <c r="AM60" s="26"/>
      <c r="AN60" s="26"/>
      <c r="AO60" s="26"/>
      <c r="AP60" s="29"/>
      <c r="BA60" s="26"/>
      <c r="BB60" s="26"/>
      <c r="BC60" s="26"/>
      <c r="BD60" s="26"/>
      <c r="BE60" s="26"/>
      <c r="BF60" s="26"/>
      <c r="BG60" s="26"/>
      <c r="BH60" s="26"/>
      <c r="BI60" s="26"/>
      <c r="BJ60" s="26"/>
    </row>
    <row r="61" spans="2:62">
      <c r="B61" s="383" t="s">
        <v>457</v>
      </c>
      <c r="C61" s="384"/>
      <c r="D61" s="192">
        <f>D49*0.05</f>
        <v>175304.87333333335</v>
      </c>
      <c r="E61" s="192">
        <f>E49*0.05</f>
        <v>142225.40167704</v>
      </c>
      <c r="F61" s="181" t="s">
        <v>458</v>
      </c>
      <c r="G61" s="32"/>
      <c r="H61" s="187" t="s">
        <v>469</v>
      </c>
      <c r="I61" s="174">
        <f>I49*$AQ$26</f>
        <v>9.0887533363605586E-5</v>
      </c>
      <c r="J61" s="170">
        <f t="shared" ref="J61:K61" si="12">J49*$AQ$26</f>
        <v>9.3019792210845587E-5</v>
      </c>
      <c r="K61" s="174">
        <f t="shared" si="12"/>
        <v>9.5152051058085602E-5</v>
      </c>
      <c r="L61" s="174">
        <f>L49*$AQ$26</f>
        <v>9.6751245193515606E-5</v>
      </c>
      <c r="M61" s="197">
        <f t="shared" si="7"/>
        <v>2.1322588472400012E-8</v>
      </c>
      <c r="N61" s="197">
        <f t="shared" si="8"/>
        <v>1.0661294236200074E-8</v>
      </c>
      <c r="O61" s="197">
        <f>(L61-K61)/200</f>
        <v>7.9959706771500205E-9</v>
      </c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26"/>
      <c r="AH61" s="29"/>
      <c r="AJ61" s="34"/>
      <c r="AK61" s="26"/>
      <c r="AL61" s="26"/>
      <c r="AM61" s="26"/>
      <c r="AN61" s="26"/>
      <c r="AO61" s="26"/>
      <c r="AP61" s="29"/>
      <c r="BA61" s="26"/>
      <c r="BB61" s="26"/>
      <c r="BC61" s="26"/>
      <c r="BD61" s="26"/>
      <c r="BE61" s="26"/>
      <c r="BF61" s="26"/>
      <c r="BG61" s="26"/>
      <c r="BH61" s="26"/>
      <c r="BI61" s="26"/>
      <c r="BJ61" s="26"/>
    </row>
    <row r="62" spans="2:62" ht="15.75" thickBot="1">
      <c r="B62" s="383" t="s">
        <v>459</v>
      </c>
      <c r="C62" s="384"/>
      <c r="D62" s="192">
        <f>D49*0.02</f>
        <v>70121.949333333338</v>
      </c>
      <c r="E62" s="192">
        <f>E49*0.02</f>
        <v>56890.160670815996</v>
      </c>
      <c r="F62" s="181" t="s">
        <v>460</v>
      </c>
      <c r="G62" s="32"/>
      <c r="H62" s="33" t="s">
        <v>509</v>
      </c>
      <c r="I62" s="174">
        <f>SUM(I56:I61)</f>
        <v>0.38694134616045134</v>
      </c>
      <c r="J62" s="170">
        <f t="shared" ref="J62:L62" si="13">SUM(J56:J61)</f>
        <v>0.39258433340907783</v>
      </c>
      <c r="K62" s="174">
        <f t="shared" si="13"/>
        <v>0.40348085492435443</v>
      </c>
      <c r="L62" s="174">
        <f t="shared" si="13"/>
        <v>0.40820332704663614</v>
      </c>
      <c r="M62" s="33"/>
      <c r="N62" s="33"/>
      <c r="O62" s="33"/>
      <c r="P62" s="33"/>
      <c r="Q62" s="33"/>
      <c r="R62" s="27" t="s">
        <v>538</v>
      </c>
      <c r="S62" s="26"/>
      <c r="T62" s="32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26"/>
      <c r="AH62" s="29"/>
      <c r="AJ62" s="34"/>
      <c r="AK62" s="26"/>
      <c r="AL62" s="26"/>
      <c r="AM62" s="26"/>
      <c r="AN62" s="26"/>
      <c r="AO62" s="26"/>
      <c r="AP62" s="29"/>
      <c r="BA62" s="26"/>
      <c r="BB62" s="26"/>
      <c r="BC62" s="26"/>
      <c r="BD62" s="26"/>
      <c r="BE62" s="26"/>
      <c r="BF62" s="26"/>
      <c r="BG62" s="26"/>
      <c r="BH62" s="26"/>
      <c r="BI62" s="26"/>
      <c r="BJ62" s="26"/>
    </row>
    <row r="63" spans="2:62" ht="15.75" thickBot="1">
      <c r="B63" s="31"/>
      <c r="C63" s="32"/>
      <c r="D63" s="49"/>
      <c r="E63" s="33"/>
      <c r="F63" s="33"/>
      <c r="G63" s="32"/>
      <c r="H63" s="33" t="s">
        <v>510</v>
      </c>
      <c r="I63" s="32">
        <f>I62*I55</f>
        <v>309.55307692836107</v>
      </c>
      <c r="J63" s="32">
        <f t="shared" ref="J63:L63" si="14">J62*J55</f>
        <v>353.32590006817003</v>
      </c>
      <c r="K63" s="32">
        <f t="shared" si="14"/>
        <v>443.82894041678986</v>
      </c>
      <c r="L63" s="32">
        <f t="shared" si="14"/>
        <v>489.84399245596336</v>
      </c>
      <c r="M63" s="33"/>
      <c r="N63" s="33"/>
      <c r="O63" s="33"/>
      <c r="P63" s="120"/>
      <c r="Q63" s="33"/>
      <c r="R63" s="53" t="s">
        <v>676</v>
      </c>
      <c r="S63" s="54">
        <f>S38-S48-S59</f>
        <v>363861.00678117335</v>
      </c>
      <c r="T63" s="55" t="s">
        <v>110</v>
      </c>
      <c r="U63" s="33"/>
      <c r="V63" s="33"/>
      <c r="W63" s="33"/>
      <c r="X63" s="33"/>
      <c r="Y63" s="33"/>
      <c r="Z63" s="33"/>
      <c r="AA63" s="33"/>
      <c r="AB63" s="32"/>
      <c r="AC63" s="33"/>
      <c r="AD63" s="33"/>
      <c r="AE63" s="33"/>
      <c r="AF63" s="33"/>
      <c r="AG63" s="26"/>
      <c r="AH63" s="29"/>
      <c r="AJ63" s="34"/>
      <c r="AK63" s="26"/>
      <c r="AL63" s="26"/>
      <c r="AM63" s="26"/>
      <c r="AN63" s="26"/>
      <c r="AO63" s="26"/>
      <c r="AP63" s="29"/>
      <c r="BA63" s="26"/>
      <c r="BB63" s="26"/>
      <c r="BC63" s="26"/>
      <c r="BD63" s="26"/>
      <c r="BE63" s="26"/>
      <c r="BF63" s="26"/>
      <c r="BG63" s="26"/>
      <c r="BH63" s="26"/>
      <c r="BI63" s="26"/>
      <c r="BJ63" s="26"/>
    </row>
    <row r="64" spans="2:62">
      <c r="B64" s="31"/>
      <c r="C64" s="32"/>
      <c r="D64" s="49"/>
      <c r="E64" s="33"/>
      <c r="F64" s="33"/>
      <c r="G64" s="32"/>
      <c r="H64" s="122"/>
      <c r="I64" s="33"/>
      <c r="J64" s="49"/>
      <c r="K64" s="32"/>
      <c r="L64" s="120"/>
      <c r="M64" s="33"/>
      <c r="N64" s="33"/>
      <c r="O64" s="33"/>
      <c r="P64" s="120"/>
      <c r="Q64" s="33"/>
      <c r="U64" s="33"/>
      <c r="V64" s="33"/>
      <c r="W64" s="33"/>
      <c r="X64" s="33"/>
      <c r="Y64" s="33"/>
      <c r="Z64" s="33"/>
      <c r="AA64" s="33"/>
      <c r="AB64" s="32"/>
      <c r="AC64" s="120"/>
      <c r="AD64" s="33"/>
      <c r="AE64" s="33"/>
      <c r="AF64" s="33"/>
      <c r="AG64" s="26"/>
      <c r="AH64" s="29"/>
      <c r="AJ64" s="34"/>
      <c r="AK64" s="26"/>
      <c r="AL64" s="26"/>
      <c r="AM64" s="26"/>
      <c r="AN64" s="26"/>
      <c r="AO64" s="26"/>
      <c r="AP64" s="29"/>
      <c r="BA64" s="26"/>
      <c r="BB64" s="26"/>
      <c r="BC64" s="26"/>
      <c r="BD64" s="26"/>
      <c r="BE64" s="26"/>
      <c r="BF64" s="26"/>
      <c r="BG64" s="26"/>
      <c r="BH64" s="26"/>
      <c r="BI64" s="26"/>
      <c r="BJ64" s="26"/>
    </row>
    <row r="65" spans="2:62">
      <c r="B65" s="31"/>
      <c r="C65" s="32"/>
      <c r="D65" s="49"/>
      <c r="E65" s="33"/>
      <c r="F65" s="33"/>
      <c r="G65" s="32"/>
      <c r="H65" s="49"/>
      <c r="I65" s="33"/>
      <c r="J65" s="49"/>
      <c r="K65" s="32"/>
      <c r="L65" s="122"/>
      <c r="M65" s="33"/>
      <c r="N65" s="33"/>
      <c r="O65" s="33"/>
      <c r="P65" s="49"/>
      <c r="Q65" s="32"/>
      <c r="U65" s="32"/>
      <c r="V65" s="49"/>
      <c r="W65" s="49"/>
      <c r="X65" s="33"/>
      <c r="Y65" s="33"/>
      <c r="Z65" s="33"/>
      <c r="AA65" s="33"/>
      <c r="AB65" s="32"/>
      <c r="AC65" s="33"/>
      <c r="AD65" s="33"/>
      <c r="AE65" s="33"/>
      <c r="AF65" s="33"/>
      <c r="AG65" s="26"/>
      <c r="AH65" s="29"/>
      <c r="AJ65" s="34"/>
      <c r="AK65" s="26"/>
      <c r="AL65" s="26"/>
      <c r="AM65" s="26"/>
      <c r="AN65" s="26"/>
      <c r="AO65" s="26"/>
      <c r="AP65" s="29"/>
      <c r="BA65" s="26"/>
      <c r="BB65" s="26"/>
      <c r="BC65" s="26"/>
      <c r="BD65" s="26"/>
      <c r="BE65" s="26"/>
      <c r="BF65" s="26"/>
      <c r="BG65" s="26"/>
      <c r="BH65" s="26"/>
      <c r="BI65" s="26"/>
      <c r="BJ65" s="26"/>
    </row>
    <row r="66" spans="2:62">
      <c r="B66" s="31"/>
      <c r="C66" s="32"/>
      <c r="D66" s="49"/>
      <c r="E66" s="33"/>
      <c r="F66" s="33"/>
      <c r="G66" s="32"/>
      <c r="H66" s="122" t="s">
        <v>514</v>
      </c>
      <c r="I66" s="33"/>
      <c r="J66" s="49"/>
      <c r="K66" s="32"/>
      <c r="L66" s="49"/>
      <c r="M66" s="32"/>
      <c r="N66" s="3"/>
      <c r="O66" s="33"/>
      <c r="P66" s="49"/>
      <c r="Q66" s="32"/>
      <c r="U66" s="32"/>
      <c r="V66" s="49"/>
      <c r="W66" s="49"/>
      <c r="X66" s="33"/>
      <c r="Y66" s="33"/>
      <c r="Z66" s="33"/>
      <c r="AA66" s="33"/>
      <c r="AB66" s="32"/>
      <c r="AC66" s="33"/>
      <c r="AD66" s="33"/>
      <c r="AE66" s="33"/>
      <c r="AF66" s="33"/>
      <c r="AG66" s="26"/>
      <c r="AH66" s="29"/>
      <c r="AJ66" s="34"/>
      <c r="AK66" s="26"/>
      <c r="AL66" s="26"/>
      <c r="AM66" s="26"/>
      <c r="AN66" s="26"/>
      <c r="AO66" s="26"/>
      <c r="AP66" s="29"/>
      <c r="BA66" s="26"/>
      <c r="BB66" s="26"/>
      <c r="BC66" s="26"/>
      <c r="BD66" s="26"/>
      <c r="BE66" s="26"/>
      <c r="BF66" s="26"/>
      <c r="BG66" s="26"/>
      <c r="BH66" s="26"/>
      <c r="BI66" s="26"/>
      <c r="BJ66" s="26"/>
    </row>
    <row r="67" spans="2:62" ht="16.5">
      <c r="B67" s="31"/>
      <c r="C67" s="32"/>
      <c r="D67" s="49"/>
      <c r="E67" s="33"/>
      <c r="F67" s="33"/>
      <c r="G67" s="32"/>
      <c r="H67" s="49" t="s">
        <v>513</v>
      </c>
      <c r="I67" s="33"/>
      <c r="J67" s="49"/>
      <c r="K67" s="32"/>
      <c r="L67" s="49"/>
      <c r="M67" s="32"/>
      <c r="N67" s="49"/>
      <c r="O67" s="33"/>
      <c r="P67" s="49"/>
      <c r="Q67" s="65"/>
      <c r="U67" s="32"/>
      <c r="V67" s="49"/>
      <c r="W67" s="49"/>
      <c r="X67" s="33"/>
      <c r="Y67" s="33"/>
      <c r="Z67" s="33"/>
      <c r="AA67" s="33"/>
      <c r="AB67" s="32"/>
      <c r="AC67" s="33"/>
      <c r="AD67" s="33"/>
      <c r="AE67" s="33"/>
      <c r="AF67" s="33"/>
      <c r="AG67" s="26"/>
      <c r="AH67" s="29"/>
      <c r="AJ67" s="34"/>
      <c r="AK67" s="26"/>
      <c r="AL67" s="26"/>
      <c r="AM67" s="26"/>
      <c r="AN67" s="26"/>
      <c r="AO67" s="26"/>
      <c r="AP67" s="29"/>
      <c r="BA67" s="26"/>
      <c r="BB67" s="26"/>
      <c r="BC67" s="26"/>
      <c r="BD67" s="26"/>
      <c r="BE67" s="26"/>
      <c r="BF67" s="26"/>
      <c r="BG67" s="26"/>
      <c r="BH67" s="26"/>
      <c r="BI67" s="26"/>
      <c r="BJ67" s="26"/>
    </row>
    <row r="68" spans="2:62">
      <c r="B68" s="31"/>
      <c r="C68" s="32"/>
      <c r="D68" s="49"/>
      <c r="E68" s="33"/>
      <c r="F68" s="33"/>
      <c r="G68" s="32"/>
      <c r="H68" s="49"/>
      <c r="I68" s="33"/>
      <c r="J68" s="49"/>
      <c r="K68" s="32"/>
      <c r="L68" s="49"/>
      <c r="M68" s="32"/>
      <c r="N68" s="49"/>
      <c r="O68" s="33"/>
      <c r="P68" s="49"/>
      <c r="Q68" s="33"/>
      <c r="R68" s="49"/>
      <c r="S68" s="33"/>
      <c r="T68" s="122"/>
      <c r="U68" s="65"/>
      <c r="V68" s="122"/>
      <c r="W68" s="49"/>
      <c r="X68" s="33"/>
      <c r="Y68" s="33"/>
      <c r="Z68" s="33"/>
      <c r="AA68" s="33"/>
      <c r="AB68" s="32"/>
      <c r="AC68" s="33"/>
      <c r="AD68" s="33"/>
      <c r="AE68" s="33"/>
      <c r="AF68" s="33"/>
      <c r="AG68" s="26"/>
      <c r="AH68" s="29"/>
      <c r="AJ68" s="34"/>
      <c r="AK68" s="26"/>
      <c r="AL68" s="26"/>
      <c r="AM68" s="26"/>
      <c r="AN68" s="26"/>
      <c r="AO68" s="26"/>
      <c r="AP68" s="29"/>
      <c r="BA68" s="26"/>
      <c r="BB68" s="26"/>
      <c r="BC68" s="26"/>
      <c r="BD68" s="26"/>
      <c r="BE68" s="26"/>
      <c r="BF68" s="26"/>
      <c r="BG68" s="26"/>
      <c r="BH68" s="26"/>
      <c r="BI68" s="26"/>
      <c r="BJ68" s="26"/>
    </row>
    <row r="69" spans="2:62" ht="16.5">
      <c r="B69" s="31"/>
      <c r="C69" s="32"/>
      <c r="D69" s="49"/>
      <c r="E69" s="33"/>
      <c r="F69" s="33"/>
      <c r="G69" s="32"/>
      <c r="H69" s="205" t="s">
        <v>677</v>
      </c>
      <c r="I69" s="33">
        <v>950</v>
      </c>
      <c r="J69" s="49">
        <v>945</v>
      </c>
      <c r="K69" s="49">
        <v>944</v>
      </c>
      <c r="L69" s="49">
        <v>943</v>
      </c>
      <c r="M69" s="49">
        <v>942</v>
      </c>
      <c r="N69" s="49"/>
      <c r="O69" s="33"/>
      <c r="P69" s="49"/>
      <c r="Q69" s="32"/>
      <c r="R69" s="49"/>
      <c r="S69" s="33"/>
      <c r="T69" s="49"/>
      <c r="U69" s="32"/>
      <c r="V69" s="49"/>
      <c r="W69" s="49"/>
      <c r="X69" s="33"/>
      <c r="Y69" s="33"/>
      <c r="Z69" s="33"/>
      <c r="AA69" s="33"/>
      <c r="AB69" s="32"/>
      <c r="AC69" s="33"/>
      <c r="AD69" s="33"/>
      <c r="AE69" s="33"/>
      <c r="AF69" s="33"/>
      <c r="AG69" s="26"/>
      <c r="AH69" s="29"/>
      <c r="AJ69" s="34"/>
      <c r="AK69" s="26"/>
      <c r="AL69" s="26"/>
      <c r="AM69" s="26"/>
      <c r="AN69" s="26"/>
      <c r="AO69" s="26"/>
      <c r="AP69" s="29"/>
      <c r="BA69" s="26"/>
      <c r="BB69" s="26"/>
      <c r="BC69" s="26"/>
      <c r="BD69" s="26"/>
      <c r="BE69" s="26"/>
      <c r="BF69" s="26"/>
      <c r="BG69" s="26"/>
      <c r="BH69" s="26"/>
      <c r="BI69" s="26"/>
      <c r="BJ69" s="26"/>
    </row>
    <row r="70" spans="2:62" ht="18">
      <c r="B70" s="31"/>
      <c r="C70" s="32"/>
      <c r="D70" s="49"/>
      <c r="E70" s="33"/>
      <c r="F70" s="33"/>
      <c r="G70" s="32"/>
      <c r="H70" s="187" t="s">
        <v>667</v>
      </c>
      <c r="I70" s="134">
        <f>J56+(N56*(I$69-$J$55))</f>
        <v>5.8129782323253019E-2</v>
      </c>
      <c r="J70" s="134">
        <f>J56+(N56*(J$69-$J$55))</f>
        <v>5.8091285778668081E-2</v>
      </c>
      <c r="K70" s="134">
        <f>J56+(N56*(K$69-$J$55))</f>
        <v>5.8083586469751099E-2</v>
      </c>
      <c r="L70" s="134">
        <f>J56+(N56*(L$69-$J$55))</f>
        <v>5.807588716083411E-2</v>
      </c>
      <c r="M70" s="134">
        <f>J56+(N56*(M$69-$J$55))</f>
        <v>5.806818785191712E-2</v>
      </c>
      <c r="N70" s="134"/>
      <c r="O70" s="33"/>
      <c r="P70" s="49"/>
      <c r="Q70" s="32"/>
      <c r="R70" s="49"/>
      <c r="S70" s="33"/>
      <c r="T70" s="49"/>
      <c r="U70" s="32"/>
      <c r="V70" s="49"/>
      <c r="Z70" s="33"/>
      <c r="AA70" s="33"/>
      <c r="AB70" s="32"/>
      <c r="AC70" s="33"/>
      <c r="AD70" s="33"/>
      <c r="AE70" s="33"/>
      <c r="AF70" s="33"/>
      <c r="AG70" s="26"/>
      <c r="AH70" s="29"/>
      <c r="AJ70" s="34"/>
      <c r="AK70" s="26"/>
      <c r="AL70" s="26"/>
      <c r="AM70" s="26"/>
      <c r="AN70" s="26"/>
      <c r="AO70" s="26"/>
      <c r="AP70" s="29"/>
      <c r="BA70" s="26"/>
      <c r="BB70" s="26"/>
      <c r="BC70" s="26"/>
      <c r="BD70" s="26"/>
      <c r="BE70" s="26"/>
      <c r="BF70" s="26"/>
      <c r="BG70" s="26"/>
      <c r="BH70" s="26"/>
      <c r="BI70" s="26"/>
      <c r="BJ70" s="26"/>
    </row>
    <row r="71" spans="2:62" ht="18.75" thickBot="1">
      <c r="B71" s="31"/>
      <c r="C71" s="32"/>
      <c r="D71" s="49"/>
      <c r="E71" s="33"/>
      <c r="F71" s="33"/>
      <c r="G71" s="32"/>
      <c r="H71" s="187" t="s">
        <v>668</v>
      </c>
      <c r="I71" s="134">
        <f>J57+(N57*(I$69-$J$55))</f>
        <v>3.4576553983670023E-2</v>
      </c>
      <c r="J71" s="134">
        <f>J57+(N57*(J$69-$J$55))</f>
        <v>3.4560703565995783E-2</v>
      </c>
      <c r="K71" s="134">
        <f t="shared" ref="K71:K75" si="15">J57+(N57*(K$69-$J$55))</f>
        <v>3.4557533482460934E-2</v>
      </c>
      <c r="L71" s="134">
        <f t="shared" ref="L71:L75" si="16">J57+(N57*(L$69-$J$55))</f>
        <v>3.4554363398926084E-2</v>
      </c>
      <c r="M71" s="134">
        <f t="shared" ref="M71:M75" si="17">J57+(N57*(M$69-$J$55))</f>
        <v>3.4551193315391235E-2</v>
      </c>
      <c r="N71" s="134"/>
      <c r="O71" s="33"/>
      <c r="P71" s="49"/>
      <c r="Q71" s="32"/>
      <c r="R71" s="49"/>
      <c r="S71" s="33"/>
      <c r="T71" s="49"/>
      <c r="U71" s="32"/>
      <c r="V71" s="49"/>
      <c r="Z71" s="33"/>
      <c r="AA71" s="33"/>
      <c r="AB71" s="32"/>
      <c r="AC71" s="33"/>
      <c r="AD71" s="33"/>
      <c r="AE71" s="33"/>
      <c r="AF71" s="33"/>
      <c r="AG71" s="26"/>
      <c r="AH71" s="29"/>
      <c r="AJ71" s="61"/>
      <c r="AK71" s="62"/>
      <c r="AL71" s="62"/>
      <c r="AM71" s="62"/>
      <c r="AN71" s="62"/>
      <c r="AO71" s="62"/>
      <c r="AP71" s="64"/>
      <c r="BA71" s="26"/>
      <c r="BB71" s="26"/>
      <c r="BC71" s="26"/>
      <c r="BD71" s="26"/>
      <c r="BE71" s="26"/>
      <c r="BF71" s="26"/>
      <c r="BG71" s="26"/>
      <c r="BH71" s="26"/>
      <c r="BI71" s="26"/>
      <c r="BJ71" s="26"/>
    </row>
    <row r="72" spans="2:62" ht="18">
      <c r="B72" s="31"/>
      <c r="C72" s="32"/>
      <c r="D72" s="49"/>
      <c r="E72" s="33"/>
      <c r="F72" s="33"/>
      <c r="G72" s="32"/>
      <c r="H72" s="187" t="s">
        <v>669</v>
      </c>
      <c r="I72" s="134">
        <f t="shared" ref="I72:I75" si="18">J58+(N58*(I$69-$J$55))</f>
        <v>0.26123527245767253</v>
      </c>
      <c r="J72" s="134">
        <f t="shared" ref="J72:J75" si="19">J58+(N58*(J$69-$J$55))</f>
        <v>0.26107211371706746</v>
      </c>
      <c r="K72" s="134">
        <f t="shared" si="15"/>
        <v>0.26103948196894644</v>
      </c>
      <c r="L72" s="134">
        <f t="shared" si="16"/>
        <v>0.26100685022082543</v>
      </c>
      <c r="M72" s="134">
        <f t="shared" si="17"/>
        <v>0.26097421847270441</v>
      </c>
      <c r="N72" s="134"/>
      <c r="O72" s="33"/>
      <c r="P72" s="122"/>
      <c r="Q72" s="65"/>
      <c r="R72" s="122"/>
      <c r="S72" s="33"/>
      <c r="T72" s="122"/>
      <c r="U72" s="65"/>
      <c r="V72" s="122"/>
      <c r="Z72" s="33"/>
      <c r="AA72" s="33"/>
      <c r="AB72" s="32"/>
      <c r="AC72" s="33"/>
      <c r="AD72" s="33"/>
      <c r="AE72" s="33"/>
      <c r="AF72" s="33"/>
      <c r="AG72" s="26"/>
      <c r="AH72" s="29"/>
      <c r="BA72" s="26"/>
      <c r="BB72" s="26"/>
      <c r="BC72" s="26"/>
      <c r="BD72" s="26"/>
      <c r="BE72" s="26"/>
      <c r="BF72" s="26"/>
      <c r="BG72" s="26"/>
      <c r="BH72" s="26"/>
      <c r="BI72" s="26"/>
      <c r="BJ72" s="26"/>
    </row>
    <row r="73" spans="2:62" ht="18">
      <c r="B73" s="31"/>
      <c r="C73" s="32"/>
      <c r="D73" s="49"/>
      <c r="E73" s="33"/>
      <c r="F73" s="33"/>
      <c r="G73" s="32"/>
      <c r="H73" s="187" t="s">
        <v>670</v>
      </c>
      <c r="I73" s="134">
        <f t="shared" si="18"/>
        <v>4.1272134105336158E-2</v>
      </c>
      <c r="J73" s="134">
        <f t="shared" si="19"/>
        <v>4.121728012592981E-2</v>
      </c>
      <c r="K73" s="134">
        <f t="shared" si="15"/>
        <v>4.1206309330048541E-2</v>
      </c>
      <c r="L73" s="134">
        <f t="shared" si="16"/>
        <v>4.1195338534167271E-2</v>
      </c>
      <c r="M73" s="134">
        <f t="shared" si="17"/>
        <v>4.1184367738286001E-2</v>
      </c>
      <c r="N73" s="134"/>
      <c r="O73" s="33"/>
      <c r="P73" s="49"/>
      <c r="Q73" s="32"/>
      <c r="R73" s="49"/>
      <c r="S73" s="33"/>
      <c r="T73" s="122"/>
      <c r="U73" s="65"/>
      <c r="V73" s="122"/>
      <c r="Z73" s="33"/>
      <c r="AA73" s="33"/>
      <c r="AB73" s="32"/>
      <c r="AC73" s="33"/>
      <c r="AD73" s="33"/>
      <c r="AE73" s="33"/>
      <c r="AF73" s="33"/>
      <c r="AG73" s="26"/>
      <c r="AH73" s="29"/>
      <c r="BA73" s="26"/>
      <c r="BB73" s="26"/>
      <c r="BC73" s="26"/>
      <c r="BD73" s="26"/>
      <c r="BE73" s="26"/>
      <c r="BF73" s="26"/>
      <c r="BG73" s="26"/>
      <c r="BH73" s="26"/>
      <c r="BI73" s="26"/>
      <c r="BJ73" s="26"/>
    </row>
    <row r="74" spans="2:62" ht="18">
      <c r="B74" s="31"/>
      <c r="C74" s="32"/>
      <c r="D74" s="49"/>
      <c r="E74" s="33"/>
      <c r="F74" s="33"/>
      <c r="G74" s="32"/>
      <c r="H74" s="187" t="s">
        <v>671</v>
      </c>
      <c r="I74" s="134">
        <f t="shared" si="18"/>
        <v>1.168061042586457E-6</v>
      </c>
      <c r="J74" s="134">
        <f t="shared" si="19"/>
        <v>1.168011902450042E-6</v>
      </c>
      <c r="K74" s="134">
        <f t="shared" si="15"/>
        <v>1.168002074422759E-6</v>
      </c>
      <c r="L74" s="134">
        <f t="shared" si="16"/>
        <v>1.167992246395476E-6</v>
      </c>
      <c r="M74" s="134">
        <f t="shared" si="17"/>
        <v>1.167982418368193E-6</v>
      </c>
      <c r="N74" s="134"/>
      <c r="O74" s="33"/>
      <c r="P74" s="122"/>
      <c r="Q74" s="65"/>
      <c r="R74" s="122"/>
      <c r="S74" s="33"/>
      <c r="T74" s="32"/>
      <c r="U74" s="33"/>
      <c r="V74" s="33"/>
      <c r="Z74" s="33"/>
      <c r="AA74" s="33"/>
      <c r="AB74" s="32"/>
      <c r="AC74" s="33"/>
      <c r="AD74" s="33"/>
      <c r="AE74" s="33"/>
      <c r="AF74" s="33"/>
      <c r="AG74" s="26"/>
      <c r="AH74" s="29"/>
      <c r="BA74" s="26"/>
      <c r="BB74" s="26"/>
      <c r="BC74" s="26"/>
      <c r="BD74" s="26"/>
      <c r="BE74" s="26"/>
      <c r="BF74" s="26"/>
      <c r="BG74" s="26"/>
      <c r="BH74" s="26"/>
      <c r="BI74" s="26"/>
      <c r="BJ74" s="26"/>
    </row>
    <row r="75" spans="2:62">
      <c r="B75" s="31"/>
      <c r="C75" s="32"/>
      <c r="D75" s="49"/>
      <c r="E75" s="33"/>
      <c r="F75" s="33"/>
      <c r="G75" s="32"/>
      <c r="H75" s="187" t="s">
        <v>469</v>
      </c>
      <c r="I75" s="134">
        <f t="shared" si="18"/>
        <v>9.3552856922655584E-5</v>
      </c>
      <c r="J75" s="134">
        <f t="shared" si="19"/>
        <v>9.3499550451474597E-5</v>
      </c>
      <c r="K75" s="134">
        <f t="shared" si="15"/>
        <v>9.3488889157238394E-5</v>
      </c>
      <c r="L75" s="134">
        <f t="shared" si="16"/>
        <v>9.3478227863002191E-5</v>
      </c>
      <c r="M75" s="134">
        <f t="shared" si="17"/>
        <v>9.3467566568765988E-5</v>
      </c>
      <c r="N75" s="134"/>
      <c r="O75" s="33"/>
      <c r="P75" s="49"/>
      <c r="Q75" s="32"/>
      <c r="R75" s="49"/>
      <c r="S75" s="33"/>
      <c r="T75" s="122"/>
      <c r="U75" s="33"/>
      <c r="V75" s="49"/>
      <c r="W75" s="49"/>
      <c r="X75" s="33"/>
      <c r="Y75" s="33"/>
      <c r="Z75" s="33"/>
      <c r="AA75" s="33"/>
      <c r="AB75" s="32"/>
      <c r="AC75" s="33"/>
      <c r="AD75" s="33"/>
      <c r="AE75" s="33"/>
      <c r="AF75" s="33"/>
      <c r="AG75" s="26"/>
      <c r="AH75" s="29"/>
      <c r="BA75" s="26"/>
      <c r="BB75" s="26"/>
      <c r="BC75" s="26"/>
      <c r="BD75" s="26"/>
      <c r="BE75" s="26"/>
      <c r="BF75" s="26"/>
      <c r="BG75" s="26"/>
      <c r="BH75" s="26"/>
      <c r="BI75" s="26"/>
      <c r="BJ75" s="26"/>
    </row>
    <row r="76" spans="2:62">
      <c r="B76" s="31"/>
      <c r="C76" s="32"/>
      <c r="D76" s="49"/>
      <c r="E76" s="33"/>
      <c r="F76" s="33"/>
      <c r="G76" s="32"/>
      <c r="H76" s="33" t="s">
        <v>509</v>
      </c>
      <c r="I76" s="174">
        <f>SUM(I70:I75)</f>
        <v>0.39530846378789697</v>
      </c>
      <c r="J76" s="174">
        <f t="shared" ref="J76:M76" si="20">SUM(J70:J75)</f>
        <v>0.39503605075001502</v>
      </c>
      <c r="K76" s="174">
        <f t="shared" si="20"/>
        <v>0.39498156814243868</v>
      </c>
      <c r="L76" s="174">
        <f t="shared" si="20"/>
        <v>0.39492708553486233</v>
      </c>
      <c r="M76" s="174">
        <f t="shared" si="20"/>
        <v>0.39487260292728593</v>
      </c>
      <c r="N76" s="174"/>
      <c r="O76" s="33">
        <v>0.40021189846977101</v>
      </c>
      <c r="P76" s="49"/>
      <c r="Q76" s="65"/>
      <c r="R76" s="122"/>
      <c r="S76" s="33"/>
      <c r="T76" s="122"/>
      <c r="U76" s="65"/>
      <c r="V76" s="122"/>
      <c r="W76" s="49"/>
      <c r="X76" s="33"/>
      <c r="Y76" s="33"/>
      <c r="Z76" s="33"/>
      <c r="AA76" s="33"/>
      <c r="AB76" s="32"/>
      <c r="AC76" s="33"/>
      <c r="AD76" s="33"/>
      <c r="AE76" s="33"/>
      <c r="AF76" s="33"/>
      <c r="AG76" s="26"/>
      <c r="AH76" s="29"/>
      <c r="BA76" s="26"/>
      <c r="BB76" s="26"/>
      <c r="BC76" s="26"/>
      <c r="BD76" s="26"/>
      <c r="BE76" s="26"/>
      <c r="BF76" s="26"/>
      <c r="BG76" s="26"/>
      <c r="BH76" s="26"/>
      <c r="BI76" s="26"/>
      <c r="BJ76" s="26"/>
    </row>
    <row r="77" spans="2:62">
      <c r="B77" s="31"/>
      <c r="C77" s="32"/>
      <c r="D77" s="49"/>
      <c r="E77" s="33"/>
      <c r="F77" s="33"/>
      <c r="G77" s="32"/>
      <c r="H77" s="33" t="s">
        <v>510</v>
      </c>
      <c r="I77" s="32">
        <f>I76*I69</f>
        <v>375.5430405985021</v>
      </c>
      <c r="J77" s="32">
        <f t="shared" ref="J77:M77" si="21">J76*J69</f>
        <v>373.30906795876422</v>
      </c>
      <c r="K77" s="32">
        <f t="shared" si="21"/>
        <v>372.86260032646209</v>
      </c>
      <c r="L77" s="32">
        <f t="shared" si="21"/>
        <v>372.4162416593752</v>
      </c>
      <c r="M77" s="65">
        <f t="shared" si="21"/>
        <v>371.96999195750334</v>
      </c>
      <c r="N77" s="32"/>
      <c r="O77" s="33"/>
      <c r="P77" s="49"/>
      <c r="Q77" s="33"/>
      <c r="R77" s="49"/>
      <c r="S77" s="33"/>
      <c r="T77" s="122"/>
      <c r="U77" s="33"/>
      <c r="V77" s="49"/>
      <c r="W77" s="49"/>
      <c r="X77" s="33"/>
      <c r="Y77" s="33"/>
      <c r="Z77" s="33"/>
      <c r="AA77" s="33"/>
      <c r="AB77" s="32"/>
      <c r="AC77" s="33"/>
      <c r="AD77" s="33"/>
      <c r="AE77" s="33"/>
      <c r="AF77" s="33"/>
      <c r="AG77" s="26"/>
      <c r="AH77" s="29"/>
      <c r="BA77" s="26"/>
      <c r="BB77" s="26"/>
      <c r="BC77" s="26"/>
      <c r="BD77" s="26"/>
      <c r="BE77" s="26"/>
      <c r="BF77" s="26"/>
      <c r="BG77" s="26"/>
      <c r="BH77" s="26"/>
      <c r="BI77" s="26"/>
      <c r="BJ77" s="26"/>
    </row>
    <row r="78" spans="2:62">
      <c r="B78" s="31"/>
      <c r="C78" s="32"/>
      <c r="D78" s="49"/>
      <c r="E78" s="33"/>
      <c r="F78" s="33"/>
      <c r="G78" s="32"/>
      <c r="H78" s="49"/>
      <c r="I78" s="33"/>
      <c r="J78" s="33"/>
      <c r="K78" s="32"/>
      <c r="L78" s="49"/>
      <c r="M78" s="32"/>
      <c r="N78" s="49"/>
      <c r="O78" s="33"/>
      <c r="P78" s="49"/>
      <c r="Q78" s="33"/>
      <c r="R78" s="49"/>
      <c r="S78" s="33"/>
      <c r="T78" s="32"/>
      <c r="U78" s="33"/>
      <c r="V78" s="33"/>
      <c r="W78" s="49"/>
      <c r="X78" s="33"/>
      <c r="Y78" s="33"/>
      <c r="Z78" s="33"/>
      <c r="AA78" s="33"/>
      <c r="AB78" s="32"/>
      <c r="AC78" s="33"/>
      <c r="AD78" s="33"/>
      <c r="AE78" s="33"/>
      <c r="AF78" s="33"/>
      <c r="AG78" s="26"/>
      <c r="AH78" s="29"/>
      <c r="BA78" s="26"/>
      <c r="BB78" s="26"/>
      <c r="BC78" s="26"/>
      <c r="BD78" s="26"/>
      <c r="BE78" s="26"/>
      <c r="BF78" s="26"/>
      <c r="BG78" s="26"/>
      <c r="BH78" s="26"/>
      <c r="BI78" s="26"/>
      <c r="BJ78" s="26"/>
    </row>
    <row r="79" spans="2:62" ht="15.75" thickBot="1">
      <c r="B79" s="31"/>
      <c r="C79" s="32"/>
      <c r="D79" s="49"/>
      <c r="E79" s="33"/>
      <c r="F79" s="33"/>
      <c r="G79" s="32"/>
      <c r="H79" s="49" t="s">
        <v>519</v>
      </c>
      <c r="I79" s="418">
        <f>L76</f>
        <v>0.39492708553486233</v>
      </c>
      <c r="J79" s="33"/>
      <c r="K79" s="32"/>
      <c r="L79" s="122"/>
      <c r="M79" s="65"/>
      <c r="N79" s="122"/>
      <c r="O79" s="33"/>
      <c r="P79" s="49"/>
      <c r="Q79" s="33"/>
      <c r="R79" s="49"/>
      <c r="S79" s="33"/>
      <c r="T79" s="32"/>
      <c r="U79" s="33"/>
      <c r="V79" s="33"/>
      <c r="W79" s="49"/>
      <c r="X79" s="33"/>
      <c r="Y79" s="33"/>
      <c r="Z79" s="33"/>
      <c r="AA79" s="33"/>
      <c r="AB79" s="32"/>
      <c r="AC79" s="33"/>
      <c r="AD79" s="33"/>
      <c r="AE79" s="33"/>
      <c r="AF79" s="33"/>
      <c r="AG79" s="26"/>
      <c r="AH79" s="29"/>
      <c r="BA79" s="26"/>
      <c r="BB79" s="26"/>
      <c r="BC79" s="26"/>
      <c r="BD79" s="26"/>
      <c r="BE79" s="26"/>
      <c r="BF79" s="26"/>
      <c r="BG79" s="26"/>
      <c r="BH79" s="26"/>
      <c r="BI79" s="26"/>
      <c r="BJ79" s="26"/>
    </row>
    <row r="80" spans="2:62" ht="15.75" thickBot="1">
      <c r="B80" s="31"/>
      <c r="C80" s="32"/>
      <c r="D80" s="49"/>
      <c r="E80" s="33"/>
      <c r="F80" s="33"/>
      <c r="G80" s="32"/>
      <c r="H80" s="125" t="s">
        <v>518</v>
      </c>
      <c r="I80" s="429">
        <v>943.5</v>
      </c>
      <c r="J80" s="33"/>
      <c r="K80" s="32"/>
      <c r="L80" s="49"/>
      <c r="M80" s="32"/>
      <c r="N80" s="49"/>
      <c r="O80" s="33"/>
      <c r="P80" s="49"/>
      <c r="Q80" s="33"/>
      <c r="R80" s="49"/>
      <c r="S80" s="33"/>
      <c r="T80" s="32"/>
      <c r="U80" s="33"/>
      <c r="V80" s="33"/>
      <c r="W80" s="33"/>
      <c r="X80" s="33"/>
      <c r="Y80" s="33"/>
      <c r="Z80" s="33"/>
      <c r="AA80" s="33"/>
      <c r="AB80" s="32"/>
      <c r="AC80" s="33"/>
      <c r="AD80" s="33"/>
      <c r="AE80" s="33"/>
      <c r="AF80" s="33"/>
      <c r="AG80" s="26"/>
      <c r="AH80" s="29"/>
      <c r="BA80" s="26"/>
      <c r="BB80" s="26"/>
      <c r="BC80" s="26"/>
      <c r="BD80" s="26"/>
      <c r="BE80" s="26"/>
      <c r="BF80" s="26"/>
      <c r="BG80" s="26"/>
      <c r="BH80" s="26"/>
      <c r="BI80" s="26"/>
      <c r="BJ80" s="26"/>
    </row>
    <row r="81" spans="2:62" ht="16.5">
      <c r="B81" s="31"/>
      <c r="C81" s="32"/>
      <c r="D81" s="49"/>
      <c r="E81" s="33"/>
      <c r="F81" s="33"/>
      <c r="G81" s="32"/>
      <c r="H81" s="122" t="s">
        <v>562</v>
      </c>
      <c r="I81" s="33"/>
      <c r="J81" s="33"/>
      <c r="K81" s="32"/>
      <c r="L81" s="49"/>
      <c r="M81" s="49"/>
      <c r="N81" s="33"/>
      <c r="O81" s="49"/>
      <c r="P81" s="49"/>
      <c r="Q81" s="33"/>
      <c r="R81" s="49"/>
      <c r="S81" s="33"/>
      <c r="T81" s="49"/>
      <c r="U81" s="33"/>
      <c r="V81" s="49"/>
      <c r="W81" s="49"/>
      <c r="X81" s="33"/>
      <c r="Y81" s="33"/>
      <c r="Z81" s="33"/>
      <c r="AA81" s="33"/>
      <c r="AB81" s="32"/>
      <c r="AC81" s="33"/>
      <c r="AD81" s="33"/>
      <c r="AE81" s="33"/>
      <c r="AF81" s="33"/>
      <c r="AG81" s="26"/>
      <c r="AH81" s="29"/>
      <c r="BA81" s="26"/>
      <c r="BB81" s="26"/>
      <c r="BC81" s="26"/>
      <c r="BD81" s="26"/>
      <c r="BE81" s="26"/>
      <c r="BF81" s="26"/>
      <c r="BG81" s="26"/>
      <c r="BH81" s="26"/>
      <c r="BI81" s="26"/>
      <c r="BJ81" s="26"/>
    </row>
    <row r="82" spans="2:62" ht="15.75" thickBot="1">
      <c r="B82" s="173"/>
      <c r="C82" s="149"/>
      <c r="D82" s="148"/>
      <c r="E82" s="150"/>
      <c r="F82" s="150"/>
      <c r="G82" s="149"/>
      <c r="H82" s="148"/>
      <c r="I82" s="150"/>
      <c r="J82" s="150"/>
      <c r="K82" s="149"/>
      <c r="L82" s="148"/>
      <c r="M82" s="148"/>
      <c r="N82" s="150"/>
      <c r="O82" s="148"/>
      <c r="P82" s="148"/>
      <c r="Q82" s="150"/>
      <c r="R82" s="148"/>
      <c r="S82" s="150"/>
      <c r="T82" s="148"/>
      <c r="U82" s="150"/>
      <c r="V82" s="148"/>
      <c r="W82" s="148"/>
      <c r="X82" s="150"/>
      <c r="Y82" s="150"/>
      <c r="Z82" s="150"/>
      <c r="AA82" s="150"/>
      <c r="AB82" s="149"/>
      <c r="AC82" s="150"/>
      <c r="AD82" s="150"/>
      <c r="AE82" s="150"/>
      <c r="AF82" s="150"/>
      <c r="AG82" s="62"/>
      <c r="AH82" s="64"/>
      <c r="BA82" s="26"/>
      <c r="BB82" s="26"/>
      <c r="BC82" s="26"/>
      <c r="BD82" s="26"/>
      <c r="BE82" s="26"/>
      <c r="BF82" s="26"/>
      <c r="BG82" s="26"/>
      <c r="BH82" s="26"/>
      <c r="BI82" s="26"/>
      <c r="BJ82" s="26"/>
    </row>
    <row r="83" spans="2:62">
      <c r="B83" s="49"/>
      <c r="C83" s="32"/>
      <c r="D83" s="49"/>
      <c r="E83" s="33"/>
      <c r="F83" s="33"/>
      <c r="G83" s="32"/>
      <c r="H83" s="49"/>
      <c r="I83" s="33"/>
      <c r="J83" s="33"/>
      <c r="K83" s="32"/>
      <c r="L83" s="49"/>
      <c r="M83" s="49"/>
      <c r="N83" s="33"/>
      <c r="O83" s="49"/>
      <c r="P83" s="49"/>
      <c r="Q83" s="33"/>
      <c r="R83" s="49"/>
      <c r="S83" s="33"/>
      <c r="T83" s="49"/>
      <c r="U83" s="33"/>
      <c r="V83" s="49"/>
      <c r="W83" s="49"/>
      <c r="X83" s="33"/>
      <c r="Y83" s="33"/>
      <c r="Z83" s="33"/>
      <c r="AA83" s="33"/>
      <c r="AB83" s="32"/>
      <c r="AC83" s="33"/>
      <c r="AD83" s="33"/>
      <c r="AE83" s="33"/>
      <c r="AF83" s="33"/>
      <c r="BA83" s="26"/>
      <c r="BB83" s="26"/>
      <c r="BC83" s="26"/>
      <c r="BD83" s="26"/>
      <c r="BE83" s="26"/>
      <c r="BF83" s="26"/>
      <c r="BG83" s="26"/>
      <c r="BH83" s="26"/>
      <c r="BI83" s="26"/>
      <c r="BJ83" s="26"/>
    </row>
    <row r="84" spans="2:62">
      <c r="B84" s="49"/>
      <c r="C84" s="32"/>
      <c r="D84" s="49"/>
      <c r="E84" s="33"/>
      <c r="F84" s="33"/>
      <c r="G84" s="32"/>
      <c r="H84" s="49" t="s">
        <v>774</v>
      </c>
      <c r="I84" s="33"/>
      <c r="J84" s="33"/>
      <c r="K84" s="32"/>
      <c r="L84" s="49"/>
      <c r="M84" s="49"/>
      <c r="N84" s="33"/>
      <c r="O84" s="49"/>
      <c r="P84" s="49"/>
      <c r="Q84" s="33"/>
      <c r="R84" s="49"/>
      <c r="S84" s="33"/>
      <c r="T84" s="122"/>
      <c r="U84" s="33"/>
      <c r="V84" s="49"/>
      <c r="W84" s="49"/>
      <c r="X84" s="33"/>
      <c r="Y84" s="33"/>
      <c r="Z84" s="33"/>
      <c r="AA84" s="33"/>
      <c r="AB84" s="32"/>
      <c r="AC84" s="33"/>
      <c r="AD84" s="33"/>
      <c r="AE84" s="33"/>
      <c r="AF84" s="33"/>
      <c r="BA84" s="26"/>
      <c r="BB84" s="26"/>
      <c r="BC84" s="26"/>
      <c r="BD84" s="26"/>
      <c r="BE84" s="26"/>
      <c r="BF84" s="26"/>
      <c r="BG84" s="26"/>
      <c r="BH84" s="26"/>
      <c r="BI84" s="26"/>
      <c r="BJ84" s="26"/>
    </row>
    <row r="85" spans="2:62">
      <c r="B85" s="49"/>
      <c r="C85" s="32"/>
      <c r="D85" s="33"/>
      <c r="E85" s="33"/>
      <c r="F85" s="33"/>
      <c r="G85" s="32"/>
      <c r="H85" s="49"/>
      <c r="I85" s="33"/>
      <c r="J85" s="33"/>
      <c r="K85" s="32"/>
      <c r="L85" s="49"/>
      <c r="M85" s="49"/>
      <c r="N85" s="33"/>
      <c r="O85" s="49"/>
      <c r="P85" s="49"/>
      <c r="Q85" s="33"/>
      <c r="R85" s="49"/>
      <c r="S85" s="33"/>
      <c r="T85" s="122"/>
      <c r="U85" s="65"/>
      <c r="V85" s="122"/>
      <c r="W85" s="49"/>
      <c r="X85" s="33"/>
      <c r="Y85" s="33"/>
      <c r="Z85" s="33"/>
      <c r="AA85" s="33"/>
      <c r="AB85" s="32"/>
      <c r="AC85" s="33"/>
      <c r="AD85" s="33"/>
      <c r="AE85" s="33"/>
      <c r="AF85" s="33"/>
    </row>
    <row r="86" spans="2:62">
      <c r="B86" s="49"/>
      <c r="C86" s="32"/>
      <c r="D86" s="33"/>
      <c r="E86" s="33"/>
      <c r="F86" s="33"/>
      <c r="G86" s="32"/>
      <c r="H86" s="49"/>
      <c r="I86" s="33"/>
      <c r="J86" s="33"/>
      <c r="K86" s="32"/>
      <c r="L86" s="49"/>
      <c r="M86" s="49"/>
      <c r="N86" s="33"/>
      <c r="O86" s="49"/>
      <c r="P86" s="49"/>
      <c r="Q86" s="33"/>
      <c r="R86" s="49"/>
      <c r="S86" s="33"/>
      <c r="T86" s="122"/>
      <c r="U86" s="120"/>
      <c r="V86" s="122"/>
      <c r="W86" s="49"/>
      <c r="X86" s="33"/>
      <c r="Y86" s="33"/>
      <c r="Z86" s="33"/>
      <c r="AA86" s="33"/>
      <c r="AB86" s="32"/>
      <c r="AC86" s="33"/>
      <c r="AD86" s="33"/>
      <c r="AE86" s="33"/>
      <c r="AF86" s="33"/>
    </row>
    <row r="87" spans="2:62">
      <c r="B87" s="49"/>
      <c r="C87" s="32"/>
      <c r="D87" s="33"/>
      <c r="E87" s="33"/>
      <c r="F87" s="33"/>
      <c r="G87" s="32"/>
      <c r="H87" s="49"/>
      <c r="I87" s="33"/>
      <c r="J87" s="33"/>
      <c r="K87" s="32"/>
      <c r="L87" s="49"/>
      <c r="M87" s="49"/>
      <c r="N87" s="33"/>
      <c r="O87" s="49"/>
      <c r="P87" s="49"/>
      <c r="Q87" s="33"/>
      <c r="R87" s="49"/>
      <c r="S87" s="33"/>
      <c r="T87" s="49"/>
      <c r="U87" s="33"/>
      <c r="V87" s="49"/>
      <c r="W87" s="33"/>
      <c r="X87" s="49"/>
      <c r="Y87" s="33"/>
      <c r="Z87" s="49"/>
      <c r="AA87" s="49"/>
      <c r="AB87" s="33"/>
      <c r="AC87" s="33"/>
      <c r="AD87" s="33"/>
      <c r="AE87" s="33"/>
      <c r="AF87" s="33"/>
    </row>
    <row r="88" spans="2:62">
      <c r="B88" s="49"/>
      <c r="C88" s="32"/>
      <c r="D88" s="33"/>
      <c r="E88" s="33"/>
      <c r="F88" s="33"/>
      <c r="G88" s="32"/>
      <c r="H88" s="49"/>
      <c r="I88" s="33"/>
      <c r="J88" s="33"/>
      <c r="K88" s="32"/>
      <c r="L88" s="49"/>
      <c r="M88" s="33"/>
      <c r="N88" s="33"/>
      <c r="O88" s="33"/>
      <c r="P88" s="32"/>
      <c r="Q88" s="33"/>
      <c r="R88" s="33"/>
      <c r="S88" s="33"/>
      <c r="T88" s="32"/>
      <c r="U88" s="33"/>
      <c r="V88" s="33"/>
      <c r="W88" s="33"/>
      <c r="X88" s="49"/>
      <c r="Y88" s="33"/>
      <c r="Z88" s="33"/>
      <c r="AA88" s="33"/>
      <c r="AB88" s="33"/>
      <c r="AC88" s="33"/>
      <c r="AD88" s="33"/>
      <c r="AE88" s="33"/>
      <c r="AF88" s="33"/>
    </row>
    <row r="89" spans="2:62">
      <c r="B89" s="33"/>
      <c r="C89" s="32"/>
      <c r="D89" s="33"/>
      <c r="E89" s="33"/>
      <c r="F89" s="33"/>
      <c r="G89" s="32"/>
      <c r="H89" s="33"/>
      <c r="I89" s="33"/>
      <c r="J89" s="33"/>
      <c r="K89" s="32"/>
      <c r="L89" s="49"/>
      <c r="M89" s="33"/>
      <c r="N89" s="33"/>
      <c r="O89" s="33"/>
      <c r="P89" s="32"/>
      <c r="Q89" s="33"/>
      <c r="R89" s="33"/>
      <c r="S89" s="33"/>
      <c r="T89" s="32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</row>
    <row r="90" spans="2:62">
      <c r="C90" s="12"/>
      <c r="O90" s="9"/>
      <c r="P90" s="12"/>
      <c r="AB90" s="9"/>
    </row>
    <row r="91" spans="2:62">
      <c r="B91" s="4"/>
      <c r="C91" s="12"/>
      <c r="O91" s="9"/>
      <c r="P91" s="12"/>
      <c r="AB91" s="9"/>
    </row>
    <row r="92" spans="2:62" ht="15.75">
      <c r="C92" s="361"/>
      <c r="O92" s="9"/>
      <c r="P92" s="12"/>
      <c r="AB92" s="9"/>
    </row>
    <row r="93" spans="2:62" ht="17.25">
      <c r="B93" s="362" t="s">
        <v>218</v>
      </c>
      <c r="C93" s="12"/>
      <c r="O93" s="9"/>
      <c r="P93" s="12"/>
      <c r="AB93" s="9"/>
    </row>
    <row r="94" spans="2:62" ht="21.75" thickBot="1">
      <c r="B94" s="7" t="s">
        <v>780</v>
      </c>
      <c r="C94" s="12"/>
      <c r="O94" s="9"/>
      <c r="P94" s="12"/>
      <c r="AB94" s="9"/>
    </row>
    <row r="95" spans="2:62">
      <c r="B95" s="23"/>
      <c r="C95" s="21"/>
      <c r="D95" s="19"/>
      <c r="E95" s="19"/>
      <c r="F95" s="19"/>
      <c r="G95" s="19"/>
      <c r="H95" s="19"/>
      <c r="I95" s="19"/>
      <c r="J95" s="21"/>
      <c r="K95" s="19"/>
      <c r="L95" s="19"/>
      <c r="M95" s="19"/>
      <c r="N95" s="19"/>
      <c r="O95" s="21"/>
      <c r="P95" s="19"/>
      <c r="Q95" s="19"/>
      <c r="R95" s="19"/>
      <c r="S95" s="21"/>
      <c r="T95" s="19"/>
      <c r="U95" s="19"/>
      <c r="V95" s="19"/>
      <c r="W95" s="21"/>
      <c r="X95" s="19"/>
      <c r="Y95" s="19"/>
      <c r="Z95" s="19"/>
      <c r="AA95" s="19"/>
      <c r="AB95" s="19"/>
      <c r="AC95" s="19"/>
      <c r="AD95" s="19"/>
      <c r="AE95" s="19"/>
      <c r="AF95" s="19"/>
      <c r="AG95" s="22"/>
      <c r="AH95" s="34"/>
      <c r="AI95" s="26"/>
      <c r="AJ95" s="26"/>
      <c r="AK95" s="26"/>
      <c r="AL95" s="26"/>
      <c r="AM95" s="26"/>
    </row>
    <row r="96" spans="2:62">
      <c r="B96" s="34"/>
      <c r="C96" s="27" t="s">
        <v>191</v>
      </c>
      <c r="D96" s="26"/>
      <c r="E96" s="26"/>
      <c r="F96" s="26"/>
      <c r="G96" s="26"/>
      <c r="H96" s="26"/>
      <c r="I96" s="26"/>
      <c r="J96" s="28"/>
      <c r="K96" s="26"/>
      <c r="L96" s="26"/>
      <c r="M96" s="26"/>
      <c r="N96" s="28"/>
      <c r="O96" s="26"/>
      <c r="P96" s="26"/>
      <c r="Q96" s="26"/>
      <c r="R96" s="290" t="s">
        <v>655</v>
      </c>
      <c r="S96" s="291"/>
      <c r="T96" s="420">
        <v>1440</v>
      </c>
      <c r="U96" s="293" t="s">
        <v>575</v>
      </c>
      <c r="V96" s="28"/>
      <c r="W96" s="26"/>
      <c r="X96" s="26"/>
      <c r="Y96" s="26"/>
      <c r="Z96" s="28"/>
      <c r="AA96" s="26"/>
      <c r="AB96" s="26"/>
      <c r="AC96" s="26"/>
      <c r="AD96" s="26"/>
      <c r="AE96" s="26"/>
      <c r="AF96" s="26"/>
      <c r="AG96" s="29"/>
      <c r="AH96" s="34"/>
      <c r="AI96" s="26"/>
      <c r="AJ96" s="26"/>
      <c r="AK96" s="26"/>
      <c r="AL96" s="26"/>
      <c r="AM96" s="26"/>
    </row>
    <row r="97" spans="2:39">
      <c r="B97" s="34"/>
      <c r="C97" s="115"/>
      <c r="D97" s="114"/>
      <c r="E97" s="114"/>
      <c r="F97" s="140" t="s">
        <v>231</v>
      </c>
      <c r="G97" s="140" t="s">
        <v>232</v>
      </c>
      <c r="H97" s="140"/>
      <c r="I97" s="140"/>
      <c r="J97" s="140"/>
      <c r="K97" s="140"/>
      <c r="L97" s="140"/>
      <c r="M97" s="140"/>
      <c r="N97" s="140"/>
      <c r="O97" s="140" t="s">
        <v>234</v>
      </c>
      <c r="P97" s="116" t="s">
        <v>242</v>
      </c>
      <c r="Q97" s="26"/>
      <c r="R97" s="295" t="s">
        <v>656</v>
      </c>
      <c r="S97" s="79"/>
      <c r="T97" s="79"/>
      <c r="U97" s="71"/>
      <c r="V97" s="28"/>
      <c r="W97" s="26"/>
      <c r="X97" s="26"/>
      <c r="Y97" s="26"/>
      <c r="Z97" s="28"/>
      <c r="AA97" s="26"/>
      <c r="AB97" s="26"/>
      <c r="AC97" s="26"/>
      <c r="AD97" s="26"/>
      <c r="AE97" s="26"/>
      <c r="AF97" s="26"/>
      <c r="AG97" s="29"/>
      <c r="AH97" s="34"/>
      <c r="AI97" s="26"/>
      <c r="AJ97" s="26"/>
      <c r="AK97" s="26"/>
      <c r="AL97" s="26"/>
      <c r="AM97" s="26"/>
    </row>
    <row r="98" spans="2:39" ht="15.75" thickBot="1">
      <c r="B98" s="34"/>
      <c r="C98" s="141"/>
      <c r="D98" s="142"/>
      <c r="E98" s="142" t="s">
        <v>219</v>
      </c>
      <c r="F98" s="142" t="s">
        <v>590</v>
      </c>
      <c r="G98" s="142" t="s">
        <v>258</v>
      </c>
      <c r="H98" s="142" t="s">
        <v>593</v>
      </c>
      <c r="I98" s="142" t="s">
        <v>594</v>
      </c>
      <c r="J98" s="142" t="s">
        <v>595</v>
      </c>
      <c r="K98" s="142" t="s">
        <v>592</v>
      </c>
      <c r="L98" s="142" t="s">
        <v>596</v>
      </c>
      <c r="M98" s="142" t="s">
        <v>238</v>
      </c>
      <c r="N98" s="142" t="s">
        <v>598</v>
      </c>
      <c r="O98" s="142"/>
      <c r="P98" s="117"/>
      <c r="Q98" s="26"/>
      <c r="R98" s="296" t="s">
        <v>241</v>
      </c>
      <c r="S98" s="294" t="s">
        <v>219</v>
      </c>
      <c r="T98" s="417" t="s">
        <v>241</v>
      </c>
      <c r="U98" s="297" t="s">
        <v>219</v>
      </c>
      <c r="W98" s="26"/>
      <c r="X98" s="26"/>
      <c r="Y98" s="26"/>
      <c r="Z98" s="28"/>
      <c r="AA98" s="26"/>
      <c r="AB98" s="26"/>
      <c r="AC98" s="26"/>
      <c r="AD98" s="26"/>
      <c r="AE98" s="26"/>
      <c r="AF98" s="26"/>
      <c r="AG98" s="29"/>
      <c r="AH98" s="34"/>
      <c r="AI98" s="26"/>
      <c r="AJ98" s="26"/>
      <c r="AK98" s="26"/>
      <c r="AL98" s="26"/>
      <c r="AM98" s="26"/>
    </row>
    <row r="99" spans="2:39" ht="15.75" thickTop="1">
      <c r="B99" s="34"/>
      <c r="C99" s="143" t="s">
        <v>220</v>
      </c>
      <c r="D99" s="2" t="s">
        <v>104</v>
      </c>
      <c r="E99" s="2" t="s">
        <v>110</v>
      </c>
      <c r="F99" s="28">
        <f>-G10</f>
        <v>-252</v>
      </c>
      <c r="G99" s="28">
        <f>-(L20+Q19)</f>
        <v>-217819.16012834068</v>
      </c>
      <c r="H99" s="28"/>
      <c r="I99" s="28">
        <f>-S54</f>
        <v>-13958.541002045331</v>
      </c>
      <c r="J99" s="28"/>
      <c r="K99" s="28">
        <f>X56</f>
        <v>93876.139749542737</v>
      </c>
      <c r="L99" s="28">
        <f>-AD34</f>
        <v>-1939.0295983446408</v>
      </c>
      <c r="M99" s="28"/>
      <c r="N99" s="28"/>
      <c r="O99" s="28">
        <f t="shared" ref="O99:O104" si="22">SUM(F99:N99)</f>
        <v>-140092.59097918792</v>
      </c>
      <c r="P99" s="230">
        <f>O99/3.6*T99*(O25/100)</f>
        <v>-4945.3981769273514</v>
      </c>
      <c r="Q99" s="26"/>
      <c r="R99" s="428">
        <v>183</v>
      </c>
      <c r="S99" s="232" t="s">
        <v>599</v>
      </c>
      <c r="T99" s="418">
        <f t="shared" ref="T99:T104" si="23">R99/$T$96</f>
        <v>0.12708333333333333</v>
      </c>
      <c r="U99" s="75" t="s">
        <v>246</v>
      </c>
      <c r="W99" s="26"/>
      <c r="X99" s="26"/>
      <c r="Y99" s="26"/>
      <c r="Z99" s="28"/>
      <c r="AA99" s="26"/>
      <c r="AB99" s="26"/>
      <c r="AC99" s="26"/>
      <c r="AD99" s="26"/>
      <c r="AE99" s="26"/>
      <c r="AF99" s="26"/>
      <c r="AG99" s="29"/>
      <c r="AH99" s="34"/>
      <c r="AI99" s="26"/>
      <c r="AJ99" s="26"/>
      <c r="AK99" s="26"/>
      <c r="AL99" s="26"/>
      <c r="AM99" s="26"/>
    </row>
    <row r="100" spans="2:39">
      <c r="B100" s="34"/>
      <c r="C100" s="143"/>
      <c r="D100" s="2" t="s">
        <v>194</v>
      </c>
      <c r="E100" s="2" t="s">
        <v>110</v>
      </c>
      <c r="F100" s="28"/>
      <c r="G100" s="28">
        <f>-L17</f>
        <v>-216851.46083577213</v>
      </c>
      <c r="H100" s="28">
        <f>S38</f>
        <v>440985.31595601077</v>
      </c>
      <c r="I100" s="28">
        <f>-S48</f>
        <v>-33025.777579236375</v>
      </c>
      <c r="J100" s="28">
        <f>-S59</f>
        <v>-44098.531595601075</v>
      </c>
      <c r="K100" s="28">
        <f>-X47</f>
        <v>-312920.4658318091</v>
      </c>
      <c r="L100" s="28"/>
      <c r="M100" s="28"/>
      <c r="N100" s="28"/>
      <c r="O100" s="28">
        <f t="shared" si="22"/>
        <v>-165910.91988640791</v>
      </c>
      <c r="P100" s="230">
        <f>O100*T100</f>
        <v>-2684.5308564953502</v>
      </c>
      <c r="Q100" s="26"/>
      <c r="R100" s="428">
        <v>23.3</v>
      </c>
      <c r="S100" s="232" t="s">
        <v>600</v>
      </c>
      <c r="T100" s="418">
        <f t="shared" si="23"/>
        <v>1.6180555555555556E-2</v>
      </c>
      <c r="U100" s="75" t="s">
        <v>601</v>
      </c>
      <c r="V100" s="187">
        <v>23.3</v>
      </c>
      <c r="W100" s="229" t="s">
        <v>600</v>
      </c>
      <c r="X100" s="26"/>
      <c r="Y100" s="26"/>
      <c r="Z100" s="28"/>
      <c r="AA100" s="26"/>
      <c r="AB100" s="26"/>
      <c r="AC100" s="26"/>
      <c r="AD100" s="26"/>
      <c r="AE100" s="26"/>
      <c r="AF100" s="26"/>
      <c r="AG100" s="29"/>
      <c r="AH100" s="34"/>
      <c r="AI100" s="26"/>
      <c r="AJ100" s="26"/>
      <c r="AK100" s="26"/>
      <c r="AL100" s="26"/>
      <c r="AM100" s="26"/>
    </row>
    <row r="101" spans="2:39">
      <c r="B101" s="34"/>
      <c r="C101" s="143" t="s">
        <v>221</v>
      </c>
      <c r="D101" s="2" t="s">
        <v>560</v>
      </c>
      <c r="E101" s="2" t="s">
        <v>4</v>
      </c>
      <c r="F101" s="28"/>
      <c r="G101" s="28"/>
      <c r="H101" s="28"/>
      <c r="I101" s="28"/>
      <c r="J101" s="28"/>
      <c r="K101" s="28"/>
      <c r="L101" s="28"/>
      <c r="M101" s="28">
        <f>AD42</f>
        <v>5.4737711902451922</v>
      </c>
      <c r="N101" s="28"/>
      <c r="O101" s="28">
        <f t="shared" si="22"/>
        <v>5.4737711902451922</v>
      </c>
      <c r="P101" s="230">
        <f t="shared" ref="P101:P103" si="24">-O101*T101</f>
        <v>-8.3627059850968202</v>
      </c>
      <c r="Q101" s="26"/>
      <c r="R101" s="414">
        <v>2200</v>
      </c>
      <c r="S101" s="26" t="s">
        <v>244</v>
      </c>
      <c r="T101" s="418">
        <f t="shared" si="23"/>
        <v>1.5277777777777777</v>
      </c>
      <c r="U101" s="75" t="s">
        <v>248</v>
      </c>
      <c r="W101" s="26"/>
      <c r="X101" s="26"/>
      <c r="Y101" s="26"/>
      <c r="Z101" s="28"/>
      <c r="AA101" s="26"/>
      <c r="AB101" s="26"/>
      <c r="AC101" s="26"/>
      <c r="AD101" s="26"/>
      <c r="AE101" s="26"/>
      <c r="AF101" s="26"/>
      <c r="AG101" s="29"/>
      <c r="AH101" s="34"/>
      <c r="AI101" s="26"/>
      <c r="AJ101" s="26"/>
      <c r="AK101" s="26"/>
      <c r="AL101" s="26"/>
      <c r="AM101" s="26"/>
    </row>
    <row r="102" spans="2:39" ht="16.5">
      <c r="B102" s="34"/>
      <c r="C102" s="143" t="s">
        <v>225</v>
      </c>
      <c r="D102" s="2" t="s">
        <v>226</v>
      </c>
      <c r="E102" s="2" t="s">
        <v>256</v>
      </c>
      <c r="F102" s="28"/>
      <c r="G102" s="28"/>
      <c r="H102" s="28"/>
      <c r="I102" s="28"/>
      <c r="J102" s="28"/>
      <c r="K102" s="28"/>
      <c r="L102" s="28"/>
      <c r="M102" s="28"/>
      <c r="N102" s="28">
        <f>AE48</f>
        <v>1.9906374400000002</v>
      </c>
      <c r="O102" s="28">
        <f t="shared" si="22"/>
        <v>1.9906374400000002</v>
      </c>
      <c r="P102" s="230">
        <f t="shared" si="24"/>
        <v>-152.06258222222223</v>
      </c>
      <c r="Q102" s="26"/>
      <c r="R102" s="414">
        <v>110000</v>
      </c>
      <c r="S102" s="26" t="s">
        <v>245</v>
      </c>
      <c r="T102" s="418">
        <f t="shared" si="23"/>
        <v>76.388888888888886</v>
      </c>
      <c r="U102" s="75" t="s">
        <v>247</v>
      </c>
      <c r="V102" s="223"/>
      <c r="W102" s="26"/>
      <c r="X102" s="26"/>
      <c r="Y102" s="26"/>
      <c r="Z102" s="28"/>
      <c r="AA102" s="26"/>
      <c r="AB102" s="26"/>
      <c r="AC102" s="26"/>
      <c r="AD102" s="26"/>
      <c r="AE102" s="26"/>
      <c r="AF102" s="26"/>
      <c r="AG102" s="29"/>
      <c r="AH102" s="34"/>
      <c r="AI102" s="26"/>
      <c r="AJ102" s="26"/>
      <c r="AK102" s="26"/>
      <c r="AL102" s="26"/>
      <c r="AM102" s="26"/>
    </row>
    <row r="103" spans="2:39">
      <c r="B103" s="34"/>
      <c r="C103" s="143"/>
      <c r="D103" s="2" t="s">
        <v>597</v>
      </c>
      <c r="E103" s="2" t="s">
        <v>256</v>
      </c>
      <c r="F103" s="28"/>
      <c r="G103" s="28"/>
      <c r="H103" s="28"/>
      <c r="I103" s="28"/>
      <c r="J103" s="28"/>
      <c r="K103" s="28"/>
      <c r="L103" s="28"/>
      <c r="M103" s="28"/>
      <c r="N103" s="28">
        <f>AE47</f>
        <v>1.7477340331536775</v>
      </c>
      <c r="O103" s="28">
        <f t="shared" si="22"/>
        <v>1.7477340331536775</v>
      </c>
      <c r="P103" s="230">
        <f t="shared" si="24"/>
        <v>-133.50746086590593</v>
      </c>
      <c r="Q103" s="26"/>
      <c r="R103" s="414">
        <v>110000</v>
      </c>
      <c r="S103" s="26" t="s">
        <v>245</v>
      </c>
      <c r="T103" s="418">
        <f t="shared" si="23"/>
        <v>76.388888888888886</v>
      </c>
      <c r="U103" s="75" t="s">
        <v>249</v>
      </c>
      <c r="W103" s="26"/>
      <c r="X103" s="26"/>
      <c r="Y103" s="26"/>
      <c r="Z103" s="28"/>
      <c r="AA103" s="26"/>
      <c r="AB103" s="26"/>
      <c r="AC103" s="26"/>
      <c r="AD103" s="26"/>
      <c r="AE103" s="26"/>
      <c r="AF103" s="26"/>
      <c r="AG103" s="29"/>
      <c r="AH103" s="34"/>
      <c r="AI103" s="26"/>
      <c r="AJ103" s="26"/>
      <c r="AK103" s="26"/>
      <c r="AL103" s="26"/>
      <c r="AM103" s="26"/>
    </row>
    <row r="104" spans="2:39">
      <c r="B104" s="34"/>
      <c r="C104" s="144"/>
      <c r="D104" s="145" t="s">
        <v>228</v>
      </c>
      <c r="E104" s="145" t="s">
        <v>255</v>
      </c>
      <c r="F104" s="77"/>
      <c r="G104" s="77">
        <f>L8/1000</f>
        <v>49.903251200000007</v>
      </c>
      <c r="H104" s="77"/>
      <c r="I104" s="77"/>
      <c r="J104" s="77"/>
      <c r="K104" s="77"/>
      <c r="L104" s="77"/>
      <c r="M104" s="77"/>
      <c r="N104" s="77"/>
      <c r="O104" s="77">
        <f t="shared" si="22"/>
        <v>49.903251200000007</v>
      </c>
      <c r="P104" s="231">
        <f>-O104*T104</f>
        <v>-9.6340998844444456</v>
      </c>
      <c r="Q104" s="26"/>
      <c r="R104" s="416">
        <v>278</v>
      </c>
      <c r="S104" s="81" t="s">
        <v>243</v>
      </c>
      <c r="T104" s="419">
        <f t="shared" si="23"/>
        <v>0.19305555555555556</v>
      </c>
      <c r="U104" s="78" t="s">
        <v>247</v>
      </c>
      <c r="W104" s="26"/>
      <c r="X104" s="26"/>
      <c r="Y104" s="26"/>
      <c r="Z104" s="28"/>
      <c r="AA104" s="26"/>
      <c r="AB104" s="26"/>
      <c r="AC104" s="26"/>
      <c r="AD104" s="26"/>
      <c r="AE104" s="26"/>
      <c r="AF104" s="26"/>
      <c r="AG104" s="29"/>
      <c r="AH104" s="34"/>
      <c r="AI104" s="26"/>
      <c r="AJ104" s="26"/>
      <c r="AK104" s="26"/>
      <c r="AL104" s="26"/>
      <c r="AM104" s="26"/>
    </row>
    <row r="105" spans="2:39" ht="16.5">
      <c r="B105" s="34"/>
      <c r="C105" s="2"/>
      <c r="D105" s="2"/>
      <c r="E105" s="2"/>
      <c r="F105" s="26"/>
      <c r="G105" s="26"/>
      <c r="H105" s="26"/>
      <c r="I105" s="26"/>
      <c r="J105" s="28"/>
      <c r="K105" s="26"/>
      <c r="L105" s="26"/>
      <c r="M105" s="27" t="s">
        <v>616</v>
      </c>
      <c r="N105" s="27" t="s">
        <v>104</v>
      </c>
      <c r="O105" s="27">
        <f>O99</f>
        <v>-140092.59097918792</v>
      </c>
      <c r="P105" s="27" t="s">
        <v>110</v>
      </c>
      <c r="Q105" s="26"/>
      <c r="R105" s="28"/>
      <c r="S105" s="6">
        <f>O105/($C$7+$C$10)*1000</f>
        <v>-1561.5117813900299</v>
      </c>
      <c r="T105" s="27" t="s">
        <v>781</v>
      </c>
      <c r="U105" s="26"/>
      <c r="V105" s="223"/>
      <c r="W105" s="26"/>
      <c r="X105" s="26"/>
      <c r="Y105" s="26"/>
      <c r="Z105" s="28"/>
      <c r="AA105" s="26"/>
      <c r="AB105" s="26"/>
      <c r="AC105" s="26"/>
      <c r="AD105" s="26"/>
      <c r="AE105" s="26"/>
      <c r="AF105" s="26"/>
      <c r="AG105" s="29"/>
      <c r="AH105" s="34"/>
      <c r="AI105" s="26"/>
      <c r="AJ105" s="26"/>
      <c r="AK105" s="26"/>
      <c r="AL105" s="26"/>
      <c r="AM105" s="26"/>
    </row>
    <row r="106" spans="2:39" ht="16.5">
      <c r="B106" s="34"/>
      <c r="C106" s="26"/>
      <c r="D106" s="26"/>
      <c r="F106" s="26"/>
      <c r="G106" s="26"/>
      <c r="H106" s="26"/>
      <c r="I106" s="28"/>
      <c r="J106" s="26"/>
      <c r="K106" s="26"/>
      <c r="L106" s="26"/>
      <c r="M106" s="27"/>
      <c r="N106" s="4"/>
      <c r="O106" s="337">
        <f>O105/1000</f>
        <v>-140.09259097918792</v>
      </c>
      <c r="P106" s="4" t="s">
        <v>733</v>
      </c>
      <c r="Q106" s="26"/>
      <c r="R106" s="224"/>
      <c r="S106" s="6">
        <f t="shared" ref="S106:S111" si="25">O106/($C$7+$C$10)*1000</f>
        <v>-1.5615117813900299</v>
      </c>
      <c r="T106" s="27" t="s">
        <v>783</v>
      </c>
      <c r="U106" s="26"/>
      <c r="W106" s="26"/>
      <c r="X106" s="26"/>
      <c r="Y106" s="26"/>
      <c r="Z106" s="28"/>
      <c r="AA106" s="26"/>
      <c r="AB106" s="26"/>
      <c r="AC106" s="26"/>
      <c r="AD106" s="26"/>
      <c r="AE106" s="26"/>
      <c r="AF106" s="26"/>
      <c r="AG106" s="29"/>
      <c r="AH106" s="34"/>
      <c r="AI106" s="26"/>
      <c r="AJ106" s="26"/>
      <c r="AK106" s="26"/>
      <c r="AL106" s="26"/>
      <c r="AM106" s="26"/>
    </row>
    <row r="107" spans="2:39">
      <c r="B107" s="34"/>
      <c r="C107" s="26"/>
      <c r="D107" s="26"/>
      <c r="F107" s="26"/>
      <c r="G107" s="26"/>
      <c r="H107" s="26"/>
      <c r="I107" s="28"/>
      <c r="J107" s="26"/>
      <c r="K107" s="26"/>
      <c r="L107" s="26"/>
      <c r="M107" s="4"/>
      <c r="N107" s="27" t="s">
        <v>194</v>
      </c>
      <c r="O107" s="27">
        <f>O100</f>
        <v>-165910.91988640791</v>
      </c>
      <c r="P107" s="27" t="s">
        <v>110</v>
      </c>
      <c r="Q107" s="26"/>
      <c r="R107" s="28"/>
      <c r="S107" s="6">
        <f t="shared" si="25"/>
        <v>-1849.2902033796415</v>
      </c>
      <c r="T107" s="27" t="s">
        <v>781</v>
      </c>
      <c r="U107" s="26"/>
      <c r="W107" s="26"/>
      <c r="X107" s="26"/>
      <c r="Y107" s="26"/>
      <c r="Z107" s="28"/>
      <c r="AA107" s="26"/>
      <c r="AB107" s="26"/>
      <c r="AC107" s="26"/>
      <c r="AD107" s="26"/>
      <c r="AE107" s="26"/>
      <c r="AF107" s="26"/>
      <c r="AG107" s="29"/>
      <c r="AH107" s="34"/>
      <c r="AI107" s="26"/>
      <c r="AJ107" s="26"/>
      <c r="AK107" s="26"/>
      <c r="AL107" s="26"/>
      <c r="AM107" s="26"/>
    </row>
    <row r="108" spans="2:39">
      <c r="B108" s="34"/>
      <c r="C108" s="26"/>
      <c r="D108" s="26"/>
      <c r="E108" s="26"/>
      <c r="F108" s="26"/>
      <c r="G108" s="26"/>
      <c r="H108" s="26"/>
      <c r="I108" s="28"/>
      <c r="J108" s="26"/>
      <c r="K108" s="26"/>
      <c r="L108" s="26"/>
      <c r="M108" s="4"/>
      <c r="N108" s="4"/>
      <c r="O108" s="337">
        <f>O107/1000</f>
        <v>-165.9109198864079</v>
      </c>
      <c r="P108" s="4" t="s">
        <v>733</v>
      </c>
      <c r="Q108" s="26"/>
      <c r="S108" s="6">
        <f t="shared" si="25"/>
        <v>-1.8492902033796412</v>
      </c>
      <c r="T108" s="27" t="s">
        <v>783</v>
      </c>
      <c r="W108" s="26"/>
      <c r="X108" s="26"/>
      <c r="Y108" s="26"/>
      <c r="Z108" s="28"/>
      <c r="AA108" s="26"/>
      <c r="AB108" s="26"/>
      <c r="AC108" s="26"/>
      <c r="AD108" s="26"/>
      <c r="AE108" s="26"/>
      <c r="AF108" s="26"/>
      <c r="AG108" s="29"/>
      <c r="AH108" s="34"/>
      <c r="AI108" s="26"/>
      <c r="AJ108" s="26"/>
      <c r="AK108" s="26"/>
      <c r="AL108" s="26"/>
      <c r="AM108" s="26"/>
    </row>
    <row r="109" spans="2:39">
      <c r="B109" s="34"/>
      <c r="C109" s="26"/>
      <c r="D109" s="26"/>
      <c r="E109" s="26"/>
      <c r="F109" s="26"/>
      <c r="G109" s="26"/>
      <c r="H109" s="26"/>
      <c r="I109" s="26"/>
      <c r="J109" s="28"/>
      <c r="K109" s="26"/>
      <c r="L109" s="26"/>
      <c r="M109" s="27"/>
      <c r="N109" s="6" t="s">
        <v>732</v>
      </c>
      <c r="O109" s="27">
        <f>SUM(O105,O107)</f>
        <v>-306003.51086559583</v>
      </c>
      <c r="P109" s="27" t="s">
        <v>110</v>
      </c>
      <c r="Q109" s="26"/>
      <c r="S109" s="6">
        <f t="shared" si="25"/>
        <v>-3410.8019847696714</v>
      </c>
      <c r="T109" s="27" t="s">
        <v>781</v>
      </c>
      <c r="W109" s="26"/>
      <c r="X109" s="26"/>
      <c r="Y109" s="26"/>
      <c r="Z109" s="28"/>
      <c r="AA109" s="26"/>
      <c r="AB109" s="26"/>
      <c r="AC109" s="26"/>
      <c r="AD109" s="26"/>
      <c r="AE109" s="26"/>
      <c r="AF109" s="26"/>
      <c r="AG109" s="29"/>
      <c r="AH109" s="34"/>
      <c r="AI109" s="26"/>
      <c r="AJ109" s="26"/>
      <c r="AK109" s="26"/>
      <c r="AL109" s="26"/>
      <c r="AM109" s="26"/>
    </row>
    <row r="110" spans="2:39">
      <c r="B110" s="34"/>
      <c r="C110" s="26"/>
      <c r="D110" s="26"/>
      <c r="E110" s="26"/>
      <c r="F110" s="26"/>
      <c r="G110" s="26"/>
      <c r="H110" s="26"/>
      <c r="I110" s="26"/>
      <c r="J110" s="28"/>
      <c r="K110" s="26"/>
      <c r="L110" s="26"/>
      <c r="M110" s="4"/>
      <c r="N110" s="4"/>
      <c r="O110" s="337">
        <f>SUM(O106,O108)</f>
        <v>-306.00351086559579</v>
      </c>
      <c r="P110" s="4" t="s">
        <v>733</v>
      </c>
      <c r="Q110" s="26"/>
      <c r="S110" s="6">
        <f t="shared" si="25"/>
        <v>-3.4108019847696709</v>
      </c>
      <c r="T110" s="27" t="s">
        <v>783</v>
      </c>
      <c r="V110" s="28"/>
      <c r="W110" s="26"/>
      <c r="X110" s="26"/>
      <c r="Y110" s="26"/>
      <c r="Z110" s="28"/>
      <c r="AA110" s="26"/>
      <c r="AB110" s="26"/>
      <c r="AC110" s="26"/>
      <c r="AD110" s="26"/>
      <c r="AE110" s="26"/>
      <c r="AF110" s="26"/>
      <c r="AG110" s="29"/>
      <c r="AH110" s="34"/>
      <c r="AI110" s="26"/>
      <c r="AJ110" s="26"/>
      <c r="AK110" s="26"/>
      <c r="AL110" s="26"/>
      <c r="AM110" s="26"/>
    </row>
    <row r="111" spans="2:39" ht="17.25" thickBot="1">
      <c r="B111" s="61"/>
      <c r="C111" s="62"/>
      <c r="D111" s="62"/>
      <c r="E111" s="62"/>
      <c r="F111" s="62"/>
      <c r="G111" s="62"/>
      <c r="H111" s="62"/>
      <c r="I111" s="62"/>
      <c r="J111" s="63"/>
      <c r="K111" s="62"/>
      <c r="L111" s="62"/>
      <c r="M111" s="241" t="s">
        <v>618</v>
      </c>
      <c r="N111" s="241"/>
      <c r="O111" s="241">
        <f>SUM(P99:P104)</f>
        <v>-7933.4958823803709</v>
      </c>
      <c r="P111" s="241" t="s">
        <v>254</v>
      </c>
      <c r="Q111" s="62"/>
      <c r="R111" s="63"/>
      <c r="S111" s="241">
        <f t="shared" si="25"/>
        <v>-88.428996860987681</v>
      </c>
      <c r="T111" s="241" t="s">
        <v>249</v>
      </c>
      <c r="U111" s="62"/>
      <c r="V111" s="228"/>
      <c r="W111" s="63"/>
      <c r="X111" s="62"/>
      <c r="Y111" s="62"/>
      <c r="Z111" s="62"/>
      <c r="AA111" s="63"/>
      <c r="AB111" s="62"/>
      <c r="AC111" s="62"/>
      <c r="AD111" s="62"/>
      <c r="AE111" s="62"/>
      <c r="AF111" s="62"/>
      <c r="AG111" s="64"/>
      <c r="AH111" s="34"/>
      <c r="AI111" s="26"/>
      <c r="AJ111" s="26"/>
      <c r="AK111" s="26"/>
      <c r="AL111" s="26"/>
      <c r="AM111" s="26"/>
    </row>
    <row r="114" spans="2:33" ht="20.25">
      <c r="B114" s="360" t="s">
        <v>779</v>
      </c>
    </row>
    <row r="115" spans="2:33">
      <c r="B115" s="9" t="s">
        <v>775</v>
      </c>
    </row>
    <row r="117" spans="2:33" ht="15.75" thickBot="1">
      <c r="B117" s="4" t="s">
        <v>776</v>
      </c>
    </row>
    <row r="118" spans="2:33">
      <c r="B118" s="23"/>
      <c r="C118" s="21"/>
      <c r="D118" s="19"/>
      <c r="E118" s="19"/>
      <c r="F118" s="19"/>
      <c r="G118" s="19"/>
      <c r="H118" s="19"/>
      <c r="I118" s="19"/>
      <c r="J118" s="21"/>
      <c r="K118" s="19"/>
      <c r="L118" s="19"/>
      <c r="M118" s="19"/>
      <c r="N118" s="19"/>
      <c r="O118" s="21"/>
      <c r="P118" s="19"/>
      <c r="Q118" s="19"/>
      <c r="R118" s="19"/>
      <c r="S118" s="21"/>
      <c r="T118" s="19"/>
      <c r="U118" s="19"/>
      <c r="V118" s="19"/>
      <c r="W118" s="21"/>
      <c r="X118" s="19"/>
      <c r="Y118" s="19"/>
      <c r="Z118" s="19"/>
      <c r="AA118" s="19"/>
      <c r="AB118" s="19"/>
      <c r="AC118" s="19"/>
      <c r="AD118" s="19"/>
      <c r="AE118" s="19"/>
      <c r="AF118" s="19"/>
      <c r="AG118" s="22"/>
    </row>
    <row r="119" spans="2:33">
      <c r="B119" s="34"/>
      <c r="C119" s="27" t="s">
        <v>191</v>
      </c>
      <c r="D119" s="26"/>
      <c r="E119" s="26"/>
      <c r="F119" s="26"/>
      <c r="G119" s="26"/>
      <c r="H119" s="26"/>
      <c r="I119" s="26"/>
      <c r="J119" s="28"/>
      <c r="K119" s="26"/>
      <c r="L119" s="26"/>
      <c r="M119" s="26"/>
      <c r="N119" s="28"/>
      <c r="O119" s="26"/>
      <c r="P119" s="26"/>
      <c r="Q119" s="26"/>
      <c r="R119" s="290" t="s">
        <v>212</v>
      </c>
      <c r="S119" s="291"/>
      <c r="T119" s="420">
        <v>1440</v>
      </c>
      <c r="U119" s="293" t="s">
        <v>575</v>
      </c>
      <c r="V119" s="28"/>
      <c r="W119" s="26"/>
      <c r="X119" s="26"/>
      <c r="Y119" s="26"/>
      <c r="Z119" s="28"/>
      <c r="AA119" s="26"/>
      <c r="AB119" s="26"/>
      <c r="AC119" s="26"/>
      <c r="AD119" s="26"/>
      <c r="AE119" s="26"/>
      <c r="AF119" s="26"/>
      <c r="AG119" s="29"/>
    </row>
    <row r="120" spans="2:33">
      <c r="B120" s="34"/>
      <c r="C120" s="115"/>
      <c r="D120" s="114"/>
      <c r="E120" s="114"/>
      <c r="F120" s="140" t="s">
        <v>231</v>
      </c>
      <c r="G120" s="140" t="s">
        <v>232</v>
      </c>
      <c r="H120" s="140"/>
      <c r="I120" s="140"/>
      <c r="J120" s="140"/>
      <c r="K120" s="140"/>
      <c r="L120" s="140"/>
      <c r="M120" s="140"/>
      <c r="N120" s="140"/>
      <c r="O120" s="140" t="s">
        <v>234</v>
      </c>
      <c r="P120" s="116" t="s">
        <v>242</v>
      </c>
      <c r="Q120" s="26"/>
      <c r="R120" s="295" t="s">
        <v>656</v>
      </c>
      <c r="S120" s="79"/>
      <c r="T120" s="79"/>
      <c r="U120" s="71"/>
      <c r="V120" s="28"/>
      <c r="W120" s="26"/>
      <c r="X120" s="26"/>
      <c r="Y120" s="26"/>
      <c r="Z120" s="28"/>
      <c r="AA120" s="26"/>
      <c r="AB120" s="26"/>
      <c r="AC120" s="26"/>
      <c r="AD120" s="26"/>
      <c r="AE120" s="26"/>
      <c r="AF120" s="26"/>
      <c r="AG120" s="29"/>
    </row>
    <row r="121" spans="2:33" ht="15.75" thickBot="1">
      <c r="B121" s="34"/>
      <c r="C121" s="141"/>
      <c r="D121" s="142"/>
      <c r="E121" s="142" t="s">
        <v>219</v>
      </c>
      <c r="F121" s="142" t="s">
        <v>590</v>
      </c>
      <c r="G121" s="142" t="s">
        <v>258</v>
      </c>
      <c r="H121" s="142" t="s">
        <v>593</v>
      </c>
      <c r="I121" s="142" t="s">
        <v>594</v>
      </c>
      <c r="J121" s="142" t="s">
        <v>595</v>
      </c>
      <c r="K121" s="142" t="s">
        <v>592</v>
      </c>
      <c r="L121" s="142" t="s">
        <v>596</v>
      </c>
      <c r="M121" s="142" t="s">
        <v>238</v>
      </c>
      <c r="N121" s="142" t="s">
        <v>598</v>
      </c>
      <c r="O121" s="142"/>
      <c r="P121" s="117"/>
      <c r="Q121" s="26"/>
      <c r="R121" s="296" t="s">
        <v>241</v>
      </c>
      <c r="S121" s="294" t="s">
        <v>219</v>
      </c>
      <c r="T121" s="294" t="s">
        <v>241</v>
      </c>
      <c r="U121" s="297" t="s">
        <v>219</v>
      </c>
      <c r="W121" s="26"/>
      <c r="X121" s="26"/>
      <c r="Y121" s="26"/>
      <c r="Z121" s="28"/>
      <c r="AA121" s="26"/>
      <c r="AB121" s="26"/>
      <c r="AC121" s="26"/>
      <c r="AD121" s="26"/>
      <c r="AE121" s="26"/>
      <c r="AF121" s="26"/>
      <c r="AG121" s="29"/>
    </row>
    <row r="122" spans="2:33" ht="15.75" thickTop="1">
      <c r="B122" s="34"/>
      <c r="C122" s="143" t="s">
        <v>220</v>
      </c>
      <c r="D122" s="2" t="s">
        <v>104</v>
      </c>
      <c r="E122" s="2" t="s">
        <v>781</v>
      </c>
      <c r="F122" s="28">
        <f>-G10/(C7+C10)*C9*1000</f>
        <v>-0.69980513518862453</v>
      </c>
      <c r="G122" s="28">
        <f>-(L20+Q19)/(C7+C10)*C9*1000</f>
        <v>-604.88478889002431</v>
      </c>
      <c r="H122" s="28"/>
      <c r="I122" s="28">
        <f>-S54/(C7+C10)*C9*1000</f>
        <v>-38.762931241953538</v>
      </c>
      <c r="J122" s="28"/>
      <c r="K122" s="28">
        <f>X56/(C7+C10)*C9*1000</f>
        <v>260.6944629699006</v>
      </c>
      <c r="L122" s="28">
        <f>-AD34/(C7+C10)*C9*1000</f>
        <v>-5.3846939293822054</v>
      </c>
      <c r="M122" s="28"/>
      <c r="N122" s="28"/>
      <c r="O122" s="28">
        <f t="shared" ref="O122:O127" si="26">SUM(F122:N122)</f>
        <v>-389.03775622664807</v>
      </c>
      <c r="P122" s="230">
        <f>O122/3.6*T122*(O25/100)</f>
        <v>-13.73339301494533</v>
      </c>
      <c r="Q122" s="26"/>
      <c r="R122" s="428">
        <v>183</v>
      </c>
      <c r="S122" s="232" t="s">
        <v>599</v>
      </c>
      <c r="T122" s="418">
        <f t="shared" ref="T122:T127" si="27">R122/$T$96</f>
        <v>0.12708333333333333</v>
      </c>
      <c r="U122" s="75" t="s">
        <v>246</v>
      </c>
      <c r="W122" s="26"/>
      <c r="X122" s="26"/>
      <c r="Y122" s="26"/>
      <c r="Z122" s="28"/>
      <c r="AA122" s="26"/>
      <c r="AB122" s="26"/>
      <c r="AC122" s="26"/>
      <c r="AD122" s="26"/>
      <c r="AE122" s="26"/>
      <c r="AF122" s="26"/>
      <c r="AG122" s="29"/>
    </row>
    <row r="123" spans="2:33">
      <c r="B123" s="34"/>
      <c r="C123" s="143"/>
      <c r="D123" s="2" t="s">
        <v>194</v>
      </c>
      <c r="E123" s="2" t="s">
        <v>781</v>
      </c>
      <c r="F123" s="28"/>
      <c r="G123" s="28">
        <f>-L17/(C7+C10)*C9*1000</f>
        <v>-602.19748359535015</v>
      </c>
      <c r="H123" s="28">
        <f>S38/(C7+C10)*C9*1000</f>
        <v>1224.6182089237875</v>
      </c>
      <c r="I123" s="28">
        <f>-S48/(C7+C10)*C9*1000</f>
        <v>-91.712733109313334</v>
      </c>
      <c r="J123" s="28">
        <f>-S59/(C7+C10)*C9*1000</f>
        <v>-122.46182089237874</v>
      </c>
      <c r="K123" s="28">
        <f>-X47/(C7+C10)*C9*1000</f>
        <v>-868.98154323300218</v>
      </c>
      <c r="L123" s="28"/>
      <c r="M123" s="28"/>
      <c r="N123" s="28"/>
      <c r="O123" s="28">
        <f t="shared" si="26"/>
        <v>-460.73537190625694</v>
      </c>
      <c r="P123" s="230">
        <f>O123*T123</f>
        <v>-7.4549542815387406</v>
      </c>
      <c r="Q123" s="26"/>
      <c r="R123" s="428">
        <v>23.3</v>
      </c>
      <c r="S123" s="232" t="s">
        <v>600</v>
      </c>
      <c r="T123" s="418">
        <f t="shared" si="27"/>
        <v>1.6180555555555556E-2</v>
      </c>
      <c r="U123" s="75" t="s">
        <v>601</v>
      </c>
      <c r="V123" s="187">
        <v>23.3</v>
      </c>
      <c r="W123" s="229" t="s">
        <v>600</v>
      </c>
      <c r="X123" s="26"/>
      <c r="Y123" s="26"/>
      <c r="Z123" s="28"/>
      <c r="AA123" s="26"/>
      <c r="AB123" s="26"/>
      <c r="AC123" s="26"/>
      <c r="AD123" s="26"/>
      <c r="AE123" s="26"/>
      <c r="AF123" s="26"/>
      <c r="AG123" s="29"/>
    </row>
    <row r="124" spans="2:33">
      <c r="B124" s="34"/>
      <c r="C124" s="143" t="s">
        <v>221</v>
      </c>
      <c r="D124" s="2" t="s">
        <v>560</v>
      </c>
      <c r="E124" s="2" t="s">
        <v>799</v>
      </c>
      <c r="F124" s="28"/>
      <c r="G124" s="28"/>
      <c r="H124" s="28"/>
      <c r="I124" s="28"/>
      <c r="J124" s="28"/>
      <c r="K124" s="28"/>
      <c r="L124" s="28"/>
      <c r="M124" s="28">
        <f>AD42/(C7+C10)*C9*1000</f>
        <v>1.5200687253099743E-2</v>
      </c>
      <c r="N124" s="28"/>
      <c r="O124" s="28">
        <f t="shared" si="26"/>
        <v>1.5200687253099743E-2</v>
      </c>
      <c r="P124" s="230">
        <f t="shared" ref="P124:P126" si="28">-O124*T124</f>
        <v>-2.3223272192235717E-2</v>
      </c>
      <c r="Q124" s="26"/>
      <c r="R124" s="414">
        <v>2200</v>
      </c>
      <c r="S124" s="26" t="s">
        <v>244</v>
      </c>
      <c r="T124" s="418">
        <f t="shared" si="27"/>
        <v>1.5277777777777777</v>
      </c>
      <c r="U124" s="75" t="s">
        <v>248</v>
      </c>
      <c r="W124" s="26"/>
      <c r="X124" s="26"/>
      <c r="Y124" s="26"/>
      <c r="Z124" s="28"/>
      <c r="AA124" s="26"/>
      <c r="AB124" s="26"/>
      <c r="AC124" s="26"/>
      <c r="AD124" s="26"/>
      <c r="AE124" s="26"/>
      <c r="AF124" s="26"/>
      <c r="AG124" s="29"/>
    </row>
    <row r="125" spans="2:33" ht="16.5">
      <c r="B125" s="34"/>
      <c r="C125" s="143" t="s">
        <v>225</v>
      </c>
      <c r="D125" s="2" t="s">
        <v>226</v>
      </c>
      <c r="E125" s="2" t="s">
        <v>802</v>
      </c>
      <c r="F125" s="28"/>
      <c r="G125" s="28"/>
      <c r="H125" s="28"/>
      <c r="I125" s="28"/>
      <c r="J125" s="28"/>
      <c r="K125" s="28"/>
      <c r="L125" s="28"/>
      <c r="M125" s="28"/>
      <c r="N125" s="28">
        <f>AE48/(C7+C10)*C9*1000</f>
        <v>5.528009138137847E-3</v>
      </c>
      <c r="O125" s="28">
        <f t="shared" si="26"/>
        <v>5.528009138137847E-3</v>
      </c>
      <c r="P125" s="230">
        <f t="shared" si="28"/>
        <v>-0.42227847582997441</v>
      </c>
      <c r="Q125" s="26"/>
      <c r="R125" s="414">
        <v>110000</v>
      </c>
      <c r="S125" s="26" t="s">
        <v>245</v>
      </c>
      <c r="T125" s="418">
        <f t="shared" si="27"/>
        <v>76.388888888888886</v>
      </c>
      <c r="U125" s="75" t="s">
        <v>247</v>
      </c>
      <c r="V125" s="223"/>
      <c r="W125" s="26"/>
      <c r="X125" s="26"/>
      <c r="Y125" s="26"/>
      <c r="Z125" s="28"/>
      <c r="AA125" s="26"/>
      <c r="AB125" s="26"/>
      <c r="AC125" s="26"/>
      <c r="AD125" s="26"/>
      <c r="AE125" s="26"/>
      <c r="AF125" s="26"/>
      <c r="AG125" s="29"/>
    </row>
    <row r="126" spans="2:33">
      <c r="B126" s="34"/>
      <c r="C126" s="143"/>
      <c r="D126" s="2" t="s">
        <v>597</v>
      </c>
      <c r="E126" s="2" t="s">
        <v>802</v>
      </c>
      <c r="F126" s="28"/>
      <c r="G126" s="28"/>
      <c r="H126" s="28"/>
      <c r="I126" s="28"/>
      <c r="J126" s="28"/>
      <c r="K126" s="28"/>
      <c r="L126" s="28"/>
      <c r="M126" s="28"/>
      <c r="N126" s="28">
        <f>AE47/(C7+C10)*C9*1000</f>
        <v>4.8534652831145608E-3</v>
      </c>
      <c r="O126" s="28">
        <f t="shared" si="26"/>
        <v>4.8534652831145608E-3</v>
      </c>
      <c r="P126" s="230">
        <f t="shared" si="28"/>
        <v>-0.37075082023791783</v>
      </c>
      <c r="Q126" s="26"/>
      <c r="R126" s="414">
        <v>110000</v>
      </c>
      <c r="S126" s="26" t="s">
        <v>245</v>
      </c>
      <c r="T126" s="418">
        <f t="shared" si="27"/>
        <v>76.388888888888886</v>
      </c>
      <c r="U126" s="75" t="s">
        <v>249</v>
      </c>
      <c r="W126" s="26"/>
      <c r="X126" s="26"/>
      <c r="Y126" s="26"/>
      <c r="Z126" s="28"/>
      <c r="AA126" s="26"/>
      <c r="AB126" s="26"/>
      <c r="AC126" s="26"/>
      <c r="AD126" s="26"/>
      <c r="AE126" s="26"/>
      <c r="AF126" s="26"/>
      <c r="AG126" s="29"/>
    </row>
    <row r="127" spans="2:33">
      <c r="B127" s="34"/>
      <c r="C127" s="144"/>
      <c r="D127" s="145" t="s">
        <v>228</v>
      </c>
      <c r="E127" s="145" t="s">
        <v>798</v>
      </c>
      <c r="F127" s="77"/>
      <c r="G127" s="77">
        <f>L8/1000/(C7+C10)*C9*1000</f>
        <v>0.13858155338241229</v>
      </c>
      <c r="H127" s="77"/>
      <c r="I127" s="77"/>
      <c r="J127" s="77"/>
      <c r="K127" s="77"/>
      <c r="L127" s="77"/>
      <c r="M127" s="77"/>
      <c r="N127" s="77"/>
      <c r="O127" s="77">
        <f t="shared" si="26"/>
        <v>0.13858155338241229</v>
      </c>
      <c r="P127" s="231">
        <f>-O127*T127</f>
        <v>-2.6753938777993487E-2</v>
      </c>
      <c r="Q127" s="26"/>
      <c r="R127" s="416">
        <v>278</v>
      </c>
      <c r="S127" s="81" t="s">
        <v>243</v>
      </c>
      <c r="T127" s="419">
        <f t="shared" si="27"/>
        <v>0.19305555555555556</v>
      </c>
      <c r="U127" s="78" t="s">
        <v>247</v>
      </c>
      <c r="W127" s="26"/>
      <c r="X127" s="26"/>
      <c r="Y127" s="26"/>
      <c r="Z127" s="28"/>
      <c r="AA127" s="26"/>
      <c r="AB127" s="26"/>
      <c r="AC127" s="26"/>
      <c r="AD127" s="26"/>
      <c r="AE127" s="26"/>
      <c r="AF127" s="26"/>
      <c r="AG127" s="29"/>
    </row>
    <row r="128" spans="2:33" ht="16.5">
      <c r="B128" s="34"/>
      <c r="C128" s="2"/>
      <c r="D128" s="2"/>
      <c r="E128" s="2"/>
      <c r="F128" s="26"/>
      <c r="G128" s="26"/>
      <c r="H128" s="26"/>
      <c r="I128" s="26"/>
      <c r="J128" s="28"/>
      <c r="K128" s="26"/>
      <c r="L128" s="26"/>
      <c r="M128" s="27" t="s">
        <v>616</v>
      </c>
      <c r="N128" s="27" t="s">
        <v>104</v>
      </c>
      <c r="O128" s="27">
        <f>O122</f>
        <v>-389.03775622664807</v>
      </c>
      <c r="P128" s="27" t="s">
        <v>781</v>
      </c>
      <c r="Q128" s="26"/>
      <c r="R128" s="28"/>
      <c r="S128" s="26"/>
      <c r="T128" s="97"/>
      <c r="U128" s="26"/>
      <c r="V128" s="223"/>
      <c r="W128" s="26"/>
      <c r="X128" s="26"/>
      <c r="Y128" s="26"/>
      <c r="Z128" s="28"/>
      <c r="AA128" s="26"/>
      <c r="AB128" s="26"/>
      <c r="AC128" s="26"/>
      <c r="AD128" s="26"/>
      <c r="AE128" s="26"/>
      <c r="AF128" s="26"/>
      <c r="AG128" s="29"/>
    </row>
    <row r="129" spans="2:33" ht="16.5">
      <c r="B129" s="34"/>
      <c r="C129" s="26"/>
      <c r="D129" s="26"/>
      <c r="F129" s="26"/>
      <c r="G129" s="26"/>
      <c r="H129" s="26"/>
      <c r="I129" s="28"/>
      <c r="J129" s="26"/>
      <c r="K129" s="26"/>
      <c r="L129" s="26"/>
      <c r="M129" s="27"/>
      <c r="N129" s="4"/>
      <c r="O129" s="337">
        <f>O128/1000</f>
        <v>-0.38903775622664805</v>
      </c>
      <c r="P129" s="4" t="s">
        <v>783</v>
      </c>
      <c r="Q129" s="26"/>
      <c r="R129" s="224"/>
      <c r="S129"/>
      <c r="T129" s="97"/>
      <c r="U129" s="26"/>
      <c r="W129" s="26"/>
      <c r="X129" s="26"/>
      <c r="Y129" s="26"/>
      <c r="Z129" s="28"/>
      <c r="AA129" s="26"/>
      <c r="AB129" s="26"/>
      <c r="AC129" s="26"/>
      <c r="AD129" s="26"/>
      <c r="AE129" s="26"/>
      <c r="AF129" s="26"/>
      <c r="AG129" s="29"/>
    </row>
    <row r="130" spans="2:33" ht="16.5">
      <c r="B130" s="34"/>
      <c r="C130" s="26"/>
      <c r="D130" s="26"/>
      <c r="F130" s="26"/>
      <c r="G130" s="26"/>
      <c r="H130" s="26"/>
      <c r="I130" s="28"/>
      <c r="J130" s="26"/>
      <c r="K130" s="26"/>
      <c r="L130" s="26"/>
      <c r="M130" s="4"/>
      <c r="N130" s="27" t="s">
        <v>194</v>
      </c>
      <c r="O130" s="27">
        <f>O123</f>
        <v>-460.73537190625694</v>
      </c>
      <c r="P130" s="27" t="s">
        <v>781</v>
      </c>
      <c r="Q130" s="26"/>
      <c r="R130" s="28"/>
      <c r="S130" s="225"/>
      <c r="T130" s="26"/>
      <c r="U130" s="26"/>
      <c r="W130" s="26"/>
      <c r="X130" s="26"/>
      <c r="Y130" s="26"/>
      <c r="Z130" s="28"/>
      <c r="AA130" s="26"/>
      <c r="AB130" s="26"/>
      <c r="AC130" s="26"/>
      <c r="AD130" s="26"/>
      <c r="AE130" s="26"/>
      <c r="AF130" s="26"/>
      <c r="AG130" s="29"/>
    </row>
    <row r="131" spans="2:33">
      <c r="B131" s="34"/>
      <c r="C131" s="26"/>
      <c r="D131" s="26"/>
      <c r="E131" s="26"/>
      <c r="F131" s="26"/>
      <c r="G131" s="26"/>
      <c r="H131" s="26"/>
      <c r="I131" s="28"/>
      <c r="J131" s="26"/>
      <c r="K131" s="26"/>
      <c r="L131" s="26"/>
      <c r="M131" s="4"/>
      <c r="N131" s="4"/>
      <c r="O131" s="337">
        <f>O130/1000</f>
        <v>-0.46073537190625696</v>
      </c>
      <c r="P131" s="4" t="s">
        <v>783</v>
      </c>
      <c r="Q131" s="26"/>
      <c r="S131" s="12"/>
      <c r="T131" s="9"/>
      <c r="W131" s="26"/>
      <c r="X131" s="26"/>
      <c r="Y131" s="26"/>
      <c r="Z131" s="28"/>
      <c r="AA131" s="26"/>
      <c r="AB131" s="26"/>
      <c r="AC131" s="26"/>
      <c r="AD131" s="26"/>
      <c r="AE131" s="26"/>
      <c r="AF131" s="26"/>
      <c r="AG131" s="29"/>
    </row>
    <row r="132" spans="2:33">
      <c r="B132" s="34"/>
      <c r="C132" s="26"/>
      <c r="D132" s="26"/>
      <c r="E132" s="26"/>
      <c r="F132" s="26"/>
      <c r="G132" s="26"/>
      <c r="H132" s="26"/>
      <c r="I132" s="26"/>
      <c r="J132" s="28"/>
      <c r="K132" s="26"/>
      <c r="L132" s="26"/>
      <c r="M132" s="27"/>
      <c r="N132" s="6" t="s">
        <v>732</v>
      </c>
      <c r="O132" s="27">
        <f>SUM(O128,O130)</f>
        <v>-849.77312813290496</v>
      </c>
      <c r="P132" s="27" t="s">
        <v>781</v>
      </c>
      <c r="Q132" s="26"/>
      <c r="S132" s="12"/>
      <c r="T132" s="9"/>
      <c r="W132" s="26"/>
      <c r="X132" s="26"/>
      <c r="Y132" s="26"/>
      <c r="Z132" s="28"/>
      <c r="AA132" s="26"/>
      <c r="AB132" s="26"/>
      <c r="AC132" s="26"/>
      <c r="AD132" s="26"/>
      <c r="AE132" s="26"/>
      <c r="AF132" s="26"/>
      <c r="AG132" s="29"/>
    </row>
    <row r="133" spans="2:33">
      <c r="B133" s="34"/>
      <c r="C133" s="26"/>
      <c r="D133" s="26"/>
      <c r="E133" s="26"/>
      <c r="F133" s="26"/>
      <c r="G133" s="26"/>
      <c r="H133" s="26"/>
      <c r="I133" s="26"/>
      <c r="J133" s="28"/>
      <c r="K133" s="26"/>
      <c r="L133" s="26"/>
      <c r="M133" s="4"/>
      <c r="N133" s="4"/>
      <c r="O133" s="337">
        <f>SUM(O129,O131)</f>
        <v>-0.84977312813290506</v>
      </c>
      <c r="P133" s="4" t="s">
        <v>783</v>
      </c>
      <c r="Q133" s="26"/>
      <c r="S133" s="12"/>
      <c r="T133" s="9"/>
      <c r="V133" s="28"/>
      <c r="W133" s="26"/>
      <c r="X133" s="26"/>
      <c r="Y133" s="26"/>
      <c r="Z133" s="28"/>
      <c r="AA133" s="26"/>
      <c r="AB133" s="26"/>
      <c r="AC133" s="26"/>
      <c r="AD133" s="26"/>
      <c r="AE133" s="26"/>
      <c r="AF133" s="26"/>
      <c r="AG133" s="29"/>
    </row>
    <row r="134" spans="2:33" ht="17.25" thickBot="1">
      <c r="B134" s="61"/>
      <c r="C134" s="62"/>
      <c r="D134" s="62"/>
      <c r="E134" s="62"/>
      <c r="F134" s="62"/>
      <c r="G134" s="62"/>
      <c r="H134" s="62"/>
      <c r="I134" s="62"/>
      <c r="J134" s="63"/>
      <c r="K134" s="62"/>
      <c r="L134" s="62"/>
      <c r="M134" s="241" t="s">
        <v>618</v>
      </c>
      <c r="N134" s="241"/>
      <c r="O134" s="241">
        <f>SUM(P122:P127)</f>
        <v>-22.031353803522194</v>
      </c>
      <c r="P134" s="241" t="s">
        <v>789</v>
      </c>
      <c r="Q134" s="62"/>
      <c r="R134" s="63"/>
      <c r="S134" s="62"/>
      <c r="T134" s="227"/>
      <c r="U134" s="62"/>
      <c r="V134" s="228"/>
      <c r="W134" s="63"/>
      <c r="X134" s="62"/>
      <c r="Y134" s="62"/>
      <c r="Z134" s="62"/>
      <c r="AA134" s="63"/>
      <c r="AB134" s="62"/>
      <c r="AC134" s="62"/>
      <c r="AD134" s="62"/>
      <c r="AE134" s="62"/>
      <c r="AF134" s="62"/>
      <c r="AG134" s="64"/>
    </row>
    <row r="136" spans="2:33" ht="15.75" thickBot="1">
      <c r="B136" s="9" t="s">
        <v>777</v>
      </c>
    </row>
    <row r="137" spans="2:33">
      <c r="B137" s="23"/>
      <c r="C137" s="21"/>
      <c r="D137" s="19"/>
      <c r="E137" s="19"/>
      <c r="F137" s="19"/>
      <c r="G137" s="19"/>
      <c r="H137" s="19"/>
      <c r="I137" s="19"/>
      <c r="J137" s="21"/>
      <c r="K137" s="19"/>
      <c r="L137" s="19"/>
      <c r="M137" s="19"/>
      <c r="N137" s="19"/>
      <c r="O137" s="21"/>
      <c r="P137" s="19"/>
      <c r="Q137" s="19"/>
      <c r="R137" s="19"/>
      <c r="S137" s="21"/>
      <c r="T137" s="19"/>
      <c r="U137" s="19"/>
      <c r="V137" s="19"/>
      <c r="W137" s="21"/>
      <c r="X137" s="19"/>
      <c r="Y137" s="19"/>
      <c r="Z137" s="19"/>
      <c r="AA137" s="19"/>
      <c r="AB137" s="19"/>
      <c r="AC137" s="19"/>
      <c r="AD137" s="19"/>
      <c r="AE137" s="19"/>
      <c r="AF137" s="19"/>
      <c r="AG137" s="22"/>
    </row>
    <row r="138" spans="2:33">
      <c r="B138" s="34"/>
      <c r="C138" s="27" t="s">
        <v>191</v>
      </c>
      <c r="D138" s="26"/>
      <c r="E138" s="26"/>
      <c r="F138" s="26"/>
      <c r="G138" s="26"/>
      <c r="H138" s="26"/>
      <c r="I138" s="26"/>
      <c r="J138" s="28"/>
      <c r="K138" s="26"/>
      <c r="L138" s="26"/>
      <c r="M138" s="26"/>
      <c r="N138" s="28"/>
      <c r="O138" s="26"/>
      <c r="P138" s="26"/>
      <c r="Q138" s="26"/>
      <c r="R138" s="290" t="s">
        <v>212</v>
      </c>
      <c r="S138" s="291"/>
      <c r="T138" s="420">
        <v>1440</v>
      </c>
      <c r="U138" s="293" t="s">
        <v>575</v>
      </c>
      <c r="V138" s="28"/>
      <c r="W138" s="26"/>
      <c r="X138" s="26"/>
      <c r="Y138" s="26"/>
      <c r="Z138" s="28"/>
      <c r="AA138" s="26"/>
      <c r="AB138" s="26"/>
      <c r="AC138" s="26"/>
      <c r="AD138" s="26"/>
      <c r="AE138" s="26"/>
      <c r="AF138" s="26"/>
      <c r="AG138" s="29"/>
    </row>
    <row r="139" spans="2:33">
      <c r="B139" s="34"/>
      <c r="C139" s="115"/>
      <c r="D139" s="114"/>
      <c r="E139" s="114"/>
      <c r="F139" s="140" t="s">
        <v>231</v>
      </c>
      <c r="G139" s="140" t="s">
        <v>232</v>
      </c>
      <c r="H139" s="140"/>
      <c r="I139" s="140"/>
      <c r="J139" s="140"/>
      <c r="K139" s="140"/>
      <c r="L139" s="140"/>
      <c r="M139" s="140"/>
      <c r="N139" s="140"/>
      <c r="O139" s="140" t="s">
        <v>234</v>
      </c>
      <c r="P139" s="116" t="s">
        <v>242</v>
      </c>
      <c r="Q139" s="26"/>
      <c r="R139" s="295" t="s">
        <v>656</v>
      </c>
      <c r="S139" s="79"/>
      <c r="T139" s="79"/>
      <c r="U139" s="71"/>
      <c r="V139" s="28"/>
      <c r="W139" s="26"/>
      <c r="X139" s="26"/>
      <c r="Y139" s="26"/>
      <c r="Z139" s="28"/>
      <c r="AA139" s="26"/>
      <c r="AB139" s="26"/>
      <c r="AC139" s="26"/>
      <c r="AD139" s="26"/>
      <c r="AE139" s="26"/>
      <c r="AF139" s="26"/>
      <c r="AG139" s="29"/>
    </row>
    <row r="140" spans="2:33" ht="15.75" thickBot="1">
      <c r="B140" s="34"/>
      <c r="C140" s="141"/>
      <c r="D140" s="142"/>
      <c r="E140" s="142" t="s">
        <v>219</v>
      </c>
      <c r="F140" s="142" t="s">
        <v>590</v>
      </c>
      <c r="G140" s="142" t="s">
        <v>258</v>
      </c>
      <c r="H140" s="142" t="s">
        <v>593</v>
      </c>
      <c r="I140" s="142" t="s">
        <v>594</v>
      </c>
      <c r="J140" s="142" t="s">
        <v>595</v>
      </c>
      <c r="K140" s="142" t="s">
        <v>592</v>
      </c>
      <c r="L140" s="142" t="s">
        <v>596</v>
      </c>
      <c r="M140" s="142" t="s">
        <v>238</v>
      </c>
      <c r="N140" s="142" t="s">
        <v>598</v>
      </c>
      <c r="O140" s="142"/>
      <c r="P140" s="117"/>
      <c r="Q140" s="26"/>
      <c r="R140" s="296" t="s">
        <v>241</v>
      </c>
      <c r="S140" s="294" t="s">
        <v>219</v>
      </c>
      <c r="T140" s="294" t="s">
        <v>241</v>
      </c>
      <c r="U140" s="297" t="s">
        <v>219</v>
      </c>
      <c r="W140" s="26"/>
      <c r="X140" s="26"/>
      <c r="Y140" s="26"/>
      <c r="Z140" s="28"/>
      <c r="AA140" s="26"/>
      <c r="AB140" s="26"/>
      <c r="AC140" s="26"/>
      <c r="AD140" s="26"/>
      <c r="AE140" s="26"/>
      <c r="AF140" s="26"/>
      <c r="AG140" s="29"/>
    </row>
    <row r="141" spans="2:33" ht="15.75" thickTop="1">
      <c r="B141" s="34"/>
      <c r="C141" s="143" t="s">
        <v>220</v>
      </c>
      <c r="D141" s="2" t="s">
        <v>104</v>
      </c>
      <c r="E141" s="2" t="s">
        <v>781</v>
      </c>
      <c r="F141" s="28">
        <f>-G10/(C7+C10)*C12*1000</f>
        <v>-2.1090583897121737</v>
      </c>
      <c r="G141" s="28">
        <f>-(L20+Q19)/(C7+C10)*C12*1000</f>
        <v>-1822.9893932886362</v>
      </c>
      <c r="H141" s="28"/>
      <c r="I141" s="28">
        <f>-S54/(C7+C10)*C12*1000</f>
        <v>-116.82292860517887</v>
      </c>
      <c r="J141" s="28"/>
      <c r="K141" s="28">
        <f>X56/(C7+C10)*C12*1000</f>
        <v>785.67563544668872</v>
      </c>
      <c r="L141" s="28">
        <f>-AD34/(C7+C10)*C12*1000</f>
        <v>-16.228280326543612</v>
      </c>
      <c r="M141" s="28"/>
      <c r="N141" s="28"/>
      <c r="O141" s="28">
        <f t="shared" ref="O141:O146" si="29">SUM(F141:N141)</f>
        <v>-1172.4740251633823</v>
      </c>
      <c r="P141" s="230">
        <f>O141/3.6*T141*(O25/100)</f>
        <v>-41.389418712364765</v>
      </c>
      <c r="Q141" s="26"/>
      <c r="R141" s="428">
        <v>183</v>
      </c>
      <c r="S141" s="232" t="s">
        <v>599</v>
      </c>
      <c r="T141" s="418">
        <f t="shared" ref="T141:T146" si="30">R141/$T$96</f>
        <v>0.12708333333333333</v>
      </c>
      <c r="U141" s="75" t="s">
        <v>246</v>
      </c>
      <c r="W141" s="26"/>
      <c r="X141" s="26"/>
      <c r="Y141" s="26"/>
      <c r="Z141" s="28"/>
      <c r="AA141" s="26"/>
      <c r="AB141" s="26"/>
      <c r="AC141" s="26"/>
      <c r="AD141" s="26"/>
      <c r="AE141" s="26"/>
      <c r="AF141" s="26"/>
      <c r="AG141" s="29"/>
    </row>
    <row r="142" spans="2:33">
      <c r="B142" s="34"/>
      <c r="C142" s="143"/>
      <c r="D142" s="2" t="s">
        <v>194</v>
      </c>
      <c r="E142" s="2" t="s">
        <v>781</v>
      </c>
      <c r="F142" s="28"/>
      <c r="G142" s="28">
        <f>-L17/(C7+C10)*C12*1000</f>
        <v>-1814.8904476072462</v>
      </c>
      <c r="H142" s="28">
        <f>S38/(C7+C10)*C12*1000</f>
        <v>3690.7292871305485</v>
      </c>
      <c r="I142" s="28">
        <f>-S48/(C7+C10)*C12*1000</f>
        <v>-276.401957461336</v>
      </c>
      <c r="J142" s="28">
        <f>-S59/(C7+C10)*C12*1000</f>
        <v>-369.07292871305481</v>
      </c>
      <c r="K142" s="28">
        <f>-X47/(C7+C10)*C12*1000</f>
        <v>-2618.9187848222955</v>
      </c>
      <c r="L142" s="28"/>
      <c r="M142" s="28"/>
      <c r="N142" s="28"/>
      <c r="O142" s="28">
        <f t="shared" si="29"/>
        <v>-1388.554831473384</v>
      </c>
      <c r="P142" s="230">
        <f>O142*T142</f>
        <v>-22.467588592590172</v>
      </c>
      <c r="Q142" s="26"/>
      <c r="R142" s="428">
        <v>23.3</v>
      </c>
      <c r="S142" s="232" t="s">
        <v>600</v>
      </c>
      <c r="T142" s="418">
        <f t="shared" si="30"/>
        <v>1.6180555555555556E-2</v>
      </c>
      <c r="U142" s="75" t="s">
        <v>601</v>
      </c>
      <c r="V142" s="187">
        <v>23.3</v>
      </c>
      <c r="W142" s="229" t="s">
        <v>600</v>
      </c>
      <c r="X142" s="26"/>
      <c r="Y142" s="26"/>
      <c r="Z142" s="28"/>
      <c r="AA142" s="26"/>
      <c r="AB142" s="26"/>
      <c r="AC142" s="26"/>
      <c r="AD142" s="26"/>
      <c r="AE142" s="26"/>
      <c r="AF142" s="26"/>
      <c r="AG142" s="29"/>
    </row>
    <row r="143" spans="2:33">
      <c r="B143" s="34"/>
      <c r="C143" s="143" t="s">
        <v>221</v>
      </c>
      <c r="D143" s="2" t="s">
        <v>560</v>
      </c>
      <c r="E143" s="2" t="s">
        <v>799</v>
      </c>
      <c r="F143" s="28"/>
      <c r="G143" s="28"/>
      <c r="H143" s="28"/>
      <c r="I143" s="28"/>
      <c r="J143" s="28"/>
      <c r="K143" s="28"/>
      <c r="L143" s="28"/>
      <c r="M143" s="28">
        <f>AD42/(C7+C10)*C12*1000</f>
        <v>4.5811520048219895E-2</v>
      </c>
      <c r="N143" s="28"/>
      <c r="O143" s="28">
        <f t="shared" si="29"/>
        <v>4.5811520048219895E-2</v>
      </c>
      <c r="P143" s="230">
        <f t="shared" ref="P143:P145" si="31">-O143*T143</f>
        <v>-6.9989822295891499E-2</v>
      </c>
      <c r="Q143" s="26"/>
      <c r="R143" s="414">
        <v>2200</v>
      </c>
      <c r="S143" s="26" t="s">
        <v>244</v>
      </c>
      <c r="T143" s="418">
        <f t="shared" si="30"/>
        <v>1.5277777777777777</v>
      </c>
      <c r="U143" s="75" t="s">
        <v>248</v>
      </c>
      <c r="W143" s="26"/>
      <c r="X143" s="26"/>
      <c r="Y143" s="26"/>
      <c r="Z143" s="28"/>
      <c r="AA143" s="26"/>
      <c r="AB143" s="26"/>
      <c r="AC143" s="26"/>
      <c r="AD143" s="26"/>
      <c r="AE143" s="26"/>
      <c r="AF143" s="26"/>
      <c r="AG143" s="29"/>
    </row>
    <row r="144" spans="2:33" ht="16.5">
      <c r="B144" s="34"/>
      <c r="C144" s="143" t="s">
        <v>225</v>
      </c>
      <c r="D144" s="2" t="s">
        <v>226</v>
      </c>
      <c r="E144" s="2" t="s">
        <v>802</v>
      </c>
      <c r="F144" s="28"/>
      <c r="G144" s="28"/>
      <c r="H144" s="28"/>
      <c r="I144" s="28"/>
      <c r="J144" s="28"/>
      <c r="K144" s="28"/>
      <c r="L144" s="28"/>
      <c r="M144" s="28"/>
      <c r="N144" s="28">
        <f>AE48/(C7+C10)*C12*1000</f>
        <v>1.6660200768679221E-2</v>
      </c>
      <c r="O144" s="28">
        <f t="shared" si="29"/>
        <v>1.6660200768679221E-2</v>
      </c>
      <c r="P144" s="230">
        <f t="shared" si="31"/>
        <v>-1.2726542253852182</v>
      </c>
      <c r="Q144" s="26"/>
      <c r="R144" s="414">
        <v>110000</v>
      </c>
      <c r="S144" s="26" t="s">
        <v>245</v>
      </c>
      <c r="T144" s="418">
        <f t="shared" si="30"/>
        <v>76.388888888888886</v>
      </c>
      <c r="U144" s="75" t="s">
        <v>247</v>
      </c>
      <c r="V144" s="223"/>
      <c r="W144" s="26"/>
      <c r="X144" s="26"/>
      <c r="Y144" s="26"/>
      <c r="Z144" s="28"/>
      <c r="AA144" s="26"/>
      <c r="AB144" s="26"/>
      <c r="AC144" s="26"/>
      <c r="AD144" s="26"/>
      <c r="AE144" s="26"/>
      <c r="AF144" s="26"/>
      <c r="AG144" s="29"/>
    </row>
    <row r="145" spans="2:33">
      <c r="B145" s="34"/>
      <c r="C145" s="143"/>
      <c r="D145" s="2" t="s">
        <v>597</v>
      </c>
      <c r="E145" s="2" t="s">
        <v>802</v>
      </c>
      <c r="F145" s="28"/>
      <c r="G145" s="28"/>
      <c r="H145" s="28"/>
      <c r="I145" s="28"/>
      <c r="J145" s="28"/>
      <c r="K145" s="28"/>
      <c r="L145" s="28"/>
      <c r="M145" s="28"/>
      <c r="N145" s="28">
        <f>AE47/(C7+C10)*C12*1000</f>
        <v>1.4627274307969276E-2</v>
      </c>
      <c r="O145" s="28">
        <f t="shared" si="29"/>
        <v>1.4627274307969276E-2</v>
      </c>
      <c r="P145" s="230">
        <f t="shared" si="31"/>
        <v>-1.117361231858764</v>
      </c>
      <c r="Q145" s="26"/>
      <c r="R145" s="414">
        <v>110000</v>
      </c>
      <c r="S145" s="26" t="s">
        <v>245</v>
      </c>
      <c r="T145" s="418">
        <f t="shared" si="30"/>
        <v>76.388888888888886</v>
      </c>
      <c r="U145" s="75" t="s">
        <v>249</v>
      </c>
      <c r="W145" s="26"/>
      <c r="X145" s="26"/>
      <c r="Y145" s="26"/>
      <c r="Z145" s="28"/>
      <c r="AA145" s="26"/>
      <c r="AB145" s="26"/>
      <c r="AC145" s="26"/>
      <c r="AD145" s="26"/>
      <c r="AE145" s="26"/>
      <c r="AF145" s="26"/>
      <c r="AG145" s="29"/>
    </row>
    <row r="146" spans="2:33">
      <c r="B146" s="34"/>
      <c r="C146" s="144"/>
      <c r="D146" s="145" t="s">
        <v>228</v>
      </c>
      <c r="E146" s="145" t="s">
        <v>798</v>
      </c>
      <c r="F146" s="77"/>
      <c r="G146" s="77">
        <f>L8/1000/(C7+C10)*C12*1000</f>
        <v>0.41765424848124649</v>
      </c>
      <c r="H146" s="77"/>
      <c r="I146" s="77"/>
      <c r="J146" s="77"/>
      <c r="K146" s="77"/>
      <c r="L146" s="77"/>
      <c r="M146" s="77"/>
      <c r="N146" s="77"/>
      <c r="O146" s="77">
        <f t="shared" si="29"/>
        <v>0.41765424848124649</v>
      </c>
      <c r="P146" s="231">
        <f>-O146*T146</f>
        <v>-8.0630472970685096E-2</v>
      </c>
      <c r="Q146" s="26"/>
      <c r="R146" s="416">
        <v>278</v>
      </c>
      <c r="S146" s="81" t="s">
        <v>243</v>
      </c>
      <c r="T146" s="419">
        <f t="shared" si="30"/>
        <v>0.19305555555555556</v>
      </c>
      <c r="U146" s="78" t="s">
        <v>247</v>
      </c>
      <c r="W146" s="26"/>
      <c r="X146" s="26"/>
      <c r="Y146" s="26"/>
      <c r="Z146" s="28"/>
      <c r="AA146" s="26"/>
      <c r="AB146" s="26"/>
      <c r="AC146" s="26"/>
      <c r="AD146" s="26"/>
      <c r="AE146" s="26"/>
      <c r="AF146" s="26"/>
      <c r="AG146" s="29"/>
    </row>
    <row r="147" spans="2:33" ht="16.5">
      <c r="B147" s="34"/>
      <c r="C147" s="2"/>
      <c r="D147" s="2"/>
      <c r="E147" s="2"/>
      <c r="F147" s="26"/>
      <c r="G147" s="26"/>
      <c r="H147" s="26"/>
      <c r="I147" s="26"/>
      <c r="J147" s="28"/>
      <c r="K147" s="26"/>
      <c r="L147" s="26"/>
      <c r="M147" s="27" t="s">
        <v>616</v>
      </c>
      <c r="N147" s="27" t="s">
        <v>104</v>
      </c>
      <c r="O147" s="27">
        <f>O141</f>
        <v>-1172.4740251633823</v>
      </c>
      <c r="P147" s="27" t="s">
        <v>782</v>
      </c>
      <c r="Q147" s="26"/>
      <c r="R147" s="28"/>
      <c r="S147" s="26"/>
      <c r="T147" s="97"/>
      <c r="U147" s="26"/>
      <c r="V147" s="223"/>
      <c r="W147" s="26"/>
      <c r="X147" s="26"/>
      <c r="Y147" s="26"/>
      <c r="Z147" s="28"/>
      <c r="AA147" s="26"/>
      <c r="AB147" s="26"/>
      <c r="AC147" s="26"/>
      <c r="AD147" s="26"/>
      <c r="AE147" s="26"/>
      <c r="AF147" s="26"/>
      <c r="AG147" s="29"/>
    </row>
    <row r="148" spans="2:33" ht="16.5">
      <c r="B148" s="34"/>
      <c r="C148" s="26"/>
      <c r="D148" s="26"/>
      <c r="F148" s="26"/>
      <c r="G148" s="26"/>
      <c r="H148" s="26"/>
      <c r="I148" s="28"/>
      <c r="J148" s="26"/>
      <c r="K148" s="26"/>
      <c r="L148" s="26"/>
      <c r="M148" s="27"/>
      <c r="N148" s="4"/>
      <c r="O148" s="337">
        <f>O147/1000</f>
        <v>-1.1724740251633823</v>
      </c>
      <c r="P148" s="4" t="s">
        <v>783</v>
      </c>
      <c r="Q148" s="26"/>
      <c r="R148" s="224"/>
      <c r="S148"/>
      <c r="T148" s="97"/>
      <c r="U148" s="26"/>
      <c r="W148" s="26"/>
      <c r="X148" s="26"/>
      <c r="Y148" s="26"/>
      <c r="Z148" s="28"/>
      <c r="AA148" s="26"/>
      <c r="AB148" s="26"/>
      <c r="AC148" s="26"/>
      <c r="AD148" s="26"/>
      <c r="AE148" s="26"/>
      <c r="AF148" s="26"/>
      <c r="AG148" s="29"/>
    </row>
    <row r="149" spans="2:33" ht="16.5">
      <c r="B149" s="34"/>
      <c r="C149" s="26"/>
      <c r="D149" s="26"/>
      <c r="F149" s="26"/>
      <c r="G149" s="26"/>
      <c r="H149" s="26"/>
      <c r="I149" s="28"/>
      <c r="J149" s="26"/>
      <c r="K149" s="26"/>
      <c r="L149" s="26"/>
      <c r="M149" s="4"/>
      <c r="N149" s="27" t="s">
        <v>194</v>
      </c>
      <c r="O149" s="27">
        <f>O142</f>
        <v>-1388.554831473384</v>
      </c>
      <c r="P149" s="27" t="s">
        <v>781</v>
      </c>
      <c r="Q149" s="26"/>
      <c r="R149" s="28"/>
      <c r="S149" s="225"/>
      <c r="T149" s="26"/>
      <c r="U149" s="26"/>
      <c r="W149" s="26"/>
      <c r="X149" s="26"/>
      <c r="Y149" s="26"/>
      <c r="Z149" s="28"/>
      <c r="AA149" s="26"/>
      <c r="AB149" s="26"/>
      <c r="AC149" s="26"/>
      <c r="AD149" s="26"/>
      <c r="AE149" s="26"/>
      <c r="AF149" s="26"/>
      <c r="AG149" s="29"/>
    </row>
    <row r="150" spans="2:33">
      <c r="B150" s="34"/>
      <c r="C150" s="26"/>
      <c r="D150" s="26"/>
      <c r="E150" s="26"/>
      <c r="F150" s="26"/>
      <c r="G150" s="26"/>
      <c r="H150" s="26"/>
      <c r="I150" s="28"/>
      <c r="J150" s="26"/>
      <c r="K150" s="26"/>
      <c r="L150" s="26"/>
      <c r="M150" s="4"/>
      <c r="N150" s="4"/>
      <c r="O150" s="337">
        <f>O149/1000</f>
        <v>-1.388554831473384</v>
      </c>
      <c r="P150" s="4" t="s">
        <v>783</v>
      </c>
      <c r="Q150" s="26"/>
      <c r="S150" s="12"/>
      <c r="T150" s="9"/>
      <c r="W150" s="26"/>
      <c r="X150" s="26"/>
      <c r="Y150" s="26"/>
      <c r="Z150" s="28"/>
      <c r="AA150" s="26"/>
      <c r="AB150" s="26"/>
      <c r="AC150" s="26"/>
      <c r="AD150" s="26"/>
      <c r="AE150" s="26"/>
      <c r="AF150" s="26"/>
      <c r="AG150" s="29"/>
    </row>
    <row r="151" spans="2:33">
      <c r="B151" s="34"/>
      <c r="C151" s="26"/>
      <c r="D151" s="26"/>
      <c r="E151" s="26"/>
      <c r="F151" s="26"/>
      <c r="G151" s="26"/>
      <c r="H151" s="26"/>
      <c r="I151" s="26"/>
      <c r="J151" s="28"/>
      <c r="K151" s="26"/>
      <c r="L151" s="26"/>
      <c r="M151" s="27"/>
      <c r="N151" s="6" t="s">
        <v>732</v>
      </c>
      <c r="O151" s="27">
        <f>SUM(O147,O149)</f>
        <v>-2561.0288566367662</v>
      </c>
      <c r="P151" s="27" t="s">
        <v>781</v>
      </c>
      <c r="Q151" s="26"/>
      <c r="S151" s="12"/>
      <c r="T151" s="9"/>
      <c r="W151" s="26"/>
      <c r="X151" s="26"/>
      <c r="Y151" s="26"/>
      <c r="Z151" s="28"/>
      <c r="AA151" s="26"/>
      <c r="AB151" s="26"/>
      <c r="AC151" s="26"/>
      <c r="AD151" s="26"/>
      <c r="AE151" s="26"/>
      <c r="AF151" s="26"/>
      <c r="AG151" s="29"/>
    </row>
    <row r="152" spans="2:33">
      <c r="B152" s="34"/>
      <c r="C152" s="26"/>
      <c r="D152" s="26"/>
      <c r="E152" s="26"/>
      <c r="F152" s="26"/>
      <c r="G152" s="26"/>
      <c r="H152" s="26"/>
      <c r="I152" s="26"/>
      <c r="J152" s="28"/>
      <c r="K152" s="26"/>
      <c r="L152" s="26"/>
      <c r="M152" s="4"/>
      <c r="N152" s="4"/>
      <c r="O152" s="337">
        <f>SUM(O148,O150)</f>
        <v>-2.5610288566367663</v>
      </c>
      <c r="P152" s="4" t="s">
        <v>783</v>
      </c>
      <c r="Q152" s="26"/>
      <c r="S152" s="12"/>
      <c r="T152" s="9"/>
      <c r="V152" s="28"/>
      <c r="W152" s="26"/>
      <c r="X152" s="26"/>
      <c r="Y152" s="26"/>
      <c r="Z152" s="28"/>
      <c r="AA152" s="26"/>
      <c r="AB152" s="26"/>
      <c r="AC152" s="26"/>
      <c r="AD152" s="26"/>
      <c r="AE152" s="26"/>
      <c r="AF152" s="26"/>
      <c r="AG152" s="29"/>
    </row>
    <row r="153" spans="2:33" ht="17.25" thickBot="1">
      <c r="B153" s="61"/>
      <c r="C153" s="62"/>
      <c r="D153" s="62"/>
      <c r="E153" s="62"/>
      <c r="F153" s="62"/>
      <c r="G153" s="62"/>
      <c r="H153" s="62"/>
      <c r="I153" s="62"/>
      <c r="J153" s="63"/>
      <c r="K153" s="62"/>
      <c r="L153" s="62"/>
      <c r="M153" s="241" t="s">
        <v>618</v>
      </c>
      <c r="N153" s="241"/>
      <c r="O153" s="241">
        <f>SUM(P141:P146)</f>
        <v>-66.397643057465501</v>
      </c>
      <c r="P153" s="241" t="s">
        <v>789</v>
      </c>
      <c r="Q153" s="62"/>
      <c r="R153" s="63"/>
      <c r="S153" s="62"/>
      <c r="T153" s="227"/>
      <c r="U153" s="62"/>
      <c r="V153" s="228"/>
      <c r="W153" s="63"/>
      <c r="X153" s="62"/>
      <c r="Y153" s="62"/>
      <c r="Z153" s="62"/>
      <c r="AA153" s="63"/>
      <c r="AB153" s="62"/>
      <c r="AC153" s="62"/>
      <c r="AD153" s="62"/>
      <c r="AE153" s="62"/>
      <c r="AF153" s="62"/>
      <c r="AG153" s="64"/>
    </row>
  </sheetData>
  <sheetProtection algorithmName="SHA-512" hashValue="G5K9YnJ8/vs6XTuhmMY2dq4fccZPQu1yjbFUIWkwcINKpDKHBElfi5NIhsAyRuUZwHy6JXOx2YM/0iNo9CTegw==" saltValue="TISpYv1nKlgUe49nOeO8mA==" spinCount="100000" sheet="1" objects="1" scenarios="1"/>
  <mergeCells count="14">
    <mergeCell ref="U15:W15"/>
    <mergeCell ref="X15:AC15"/>
    <mergeCell ref="B51:B53"/>
    <mergeCell ref="B34:C34"/>
    <mergeCell ref="B35:C35"/>
    <mergeCell ref="B36:F36"/>
    <mergeCell ref="B38:B41"/>
    <mergeCell ref="B43:B48"/>
    <mergeCell ref="B62:C62"/>
    <mergeCell ref="B55:C55"/>
    <mergeCell ref="B56:C56"/>
    <mergeCell ref="B58:C58"/>
    <mergeCell ref="B59:C59"/>
    <mergeCell ref="B61:C6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213F-41A3-43D7-8A3F-03C916B24FBB}">
  <dimension ref="B1:BP215"/>
  <sheetViews>
    <sheetView zoomScaleNormal="100" workbookViewId="0">
      <selection activeCell="M25" sqref="M25"/>
    </sheetView>
  </sheetViews>
  <sheetFormatPr defaultRowHeight="15"/>
  <cols>
    <col min="1" max="1" width="4.75" style="9" customWidth="1"/>
    <col min="2" max="2" width="10.625" style="9" customWidth="1"/>
    <col min="3" max="3" width="9.625" style="9" customWidth="1"/>
    <col min="4" max="4" width="10.375" style="9" customWidth="1"/>
    <col min="5" max="5" width="9" style="9"/>
    <col min="6" max="6" width="10.625" style="9" customWidth="1"/>
    <col min="7" max="7" width="9.625" style="12" customWidth="1"/>
    <col min="8" max="8" width="13.125" style="9" bestFit="1" customWidth="1"/>
    <col min="9" max="9" width="9.625" style="9" bestFit="1" customWidth="1"/>
    <col min="10" max="10" width="10.625" style="9" customWidth="1"/>
    <col min="11" max="11" width="9.625" style="12" customWidth="1"/>
    <col min="12" max="12" width="12.375" style="9" bestFit="1" customWidth="1"/>
    <col min="13" max="13" width="14.75" style="9" bestFit="1" customWidth="1"/>
    <col min="14" max="14" width="10.625" style="9" customWidth="1"/>
    <col min="15" max="15" width="9.625" style="12" customWidth="1"/>
    <col min="16" max="16" width="9.125" style="9" bestFit="1" customWidth="1"/>
    <col min="17" max="17" width="14" style="9" bestFit="1" customWidth="1"/>
    <col min="18" max="18" width="10.75" style="9" bestFit="1" customWidth="1"/>
    <col min="19" max="19" width="15.625" style="9" customWidth="1"/>
    <col min="20" max="20" width="14.75" style="12" bestFit="1" customWidth="1"/>
    <col min="21" max="21" width="12.375" style="9" bestFit="1" customWidth="1"/>
    <col min="22" max="22" width="12.25" style="9" bestFit="1" customWidth="1"/>
    <col min="23" max="23" width="16" style="9" bestFit="1" customWidth="1"/>
    <col min="24" max="24" width="12.75" style="12" bestFit="1" customWidth="1"/>
    <col min="25" max="26" width="11.625" style="9" customWidth="1"/>
    <col min="27" max="27" width="13" style="9" customWidth="1"/>
    <col min="28" max="28" width="11.875" style="12" bestFit="1" customWidth="1"/>
    <col min="29" max="31" width="9" style="9"/>
    <col min="32" max="32" width="9.125" style="9" bestFit="1" customWidth="1"/>
    <col min="33" max="34" width="9" style="9"/>
    <col min="35" max="35" width="12.125" style="9" bestFit="1" customWidth="1"/>
    <col min="36" max="36" width="9.625" style="9" bestFit="1" customWidth="1"/>
    <col min="37" max="37" width="9" style="9"/>
    <col min="38" max="38" width="9.125" style="9" bestFit="1" customWidth="1"/>
    <col min="39" max="16384" width="9" style="9"/>
  </cols>
  <sheetData>
    <row r="1" spans="2:57">
      <c r="B1" s="8"/>
      <c r="C1" s="9" t="s">
        <v>176</v>
      </c>
      <c r="D1" s="11"/>
      <c r="E1" s="9" t="s">
        <v>104</v>
      </c>
      <c r="F1" s="119"/>
      <c r="G1" s="12" t="s">
        <v>194</v>
      </c>
      <c r="H1" s="13"/>
      <c r="I1" s="9" t="s">
        <v>192</v>
      </c>
      <c r="K1" s="288"/>
      <c r="L1" s="9" t="s">
        <v>653</v>
      </c>
    </row>
    <row r="2" spans="2:57" s="10" customFormat="1">
      <c r="G2" s="14"/>
      <c r="J2" s="15"/>
      <c r="K2" s="14"/>
      <c r="O2" s="14"/>
      <c r="T2" s="14"/>
      <c r="X2" s="14"/>
      <c r="AB2" s="14"/>
    </row>
    <row r="3" spans="2:57">
      <c r="B3" s="16" t="s">
        <v>183</v>
      </c>
    </row>
    <row r="4" spans="2:57" ht="15.75" thickBot="1">
      <c r="B4" s="17" t="s">
        <v>185</v>
      </c>
      <c r="R4" s="17" t="s">
        <v>186</v>
      </c>
    </row>
    <row r="5" spans="2:57">
      <c r="B5" s="18" t="s">
        <v>7</v>
      </c>
      <c r="C5" s="19"/>
      <c r="D5" s="19"/>
      <c r="E5" s="19"/>
      <c r="F5" s="20" t="s">
        <v>8</v>
      </c>
      <c r="G5" s="21"/>
      <c r="H5" s="19"/>
      <c r="I5" s="19"/>
      <c r="J5" s="19"/>
      <c r="K5" s="21"/>
      <c r="L5" s="19"/>
      <c r="M5" s="19"/>
      <c r="N5" s="19"/>
      <c r="O5" s="21"/>
      <c r="P5" s="22"/>
      <c r="R5" s="23" t="s">
        <v>628</v>
      </c>
      <c r="S5" s="19"/>
      <c r="T5" s="24"/>
      <c r="U5" s="19"/>
      <c r="V5" s="19"/>
      <c r="W5" s="154"/>
      <c r="X5" s="153"/>
      <c r="Y5" s="154"/>
      <c r="Z5" s="154"/>
      <c r="AA5" s="154"/>
      <c r="AB5" s="153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9"/>
      <c r="AP5" s="19"/>
      <c r="AQ5" s="19"/>
      <c r="AR5" s="19"/>
      <c r="AS5" s="19"/>
      <c r="AT5" s="19"/>
      <c r="AU5" s="19"/>
      <c r="AV5" s="19"/>
      <c r="AW5" s="19"/>
      <c r="AX5" s="34"/>
      <c r="AY5" s="26"/>
      <c r="AZ5" s="26"/>
      <c r="BA5" s="26"/>
    </row>
    <row r="6" spans="2:57">
      <c r="B6" s="25"/>
      <c r="C6" s="26"/>
      <c r="D6" s="26"/>
      <c r="E6" s="26"/>
      <c r="F6" s="27" t="s">
        <v>9</v>
      </c>
      <c r="G6" s="28"/>
      <c r="H6" s="26"/>
      <c r="I6" s="26"/>
      <c r="J6" s="27" t="s">
        <v>184</v>
      </c>
      <c r="K6" s="28"/>
      <c r="L6" s="26"/>
      <c r="M6" s="26"/>
      <c r="N6" s="27" t="s">
        <v>39</v>
      </c>
      <c r="O6" s="28"/>
      <c r="P6" s="29"/>
      <c r="R6" s="204" t="s">
        <v>563</v>
      </c>
      <c r="S6" s="26"/>
      <c r="T6" s="26"/>
      <c r="U6" s="26"/>
      <c r="V6" s="26"/>
      <c r="W6" s="28"/>
      <c r="X6" s="26"/>
      <c r="Y6" s="26"/>
      <c r="Z6" s="26"/>
      <c r="AA6" s="28"/>
      <c r="AB6" s="26"/>
      <c r="AC6" s="33"/>
      <c r="AD6" s="33"/>
      <c r="AE6" s="27" t="s">
        <v>462</v>
      </c>
      <c r="AF6" s="26"/>
      <c r="AG6" s="33"/>
      <c r="AH6" s="33"/>
      <c r="AI6" s="33"/>
      <c r="AJ6" s="33"/>
      <c r="AK6" s="33"/>
      <c r="AL6" s="33"/>
      <c r="AM6" s="33"/>
      <c r="AN6" s="33"/>
      <c r="AO6" s="26"/>
      <c r="AP6" s="26"/>
      <c r="AQ6" s="26"/>
      <c r="AR6" s="26"/>
      <c r="AS6" s="26"/>
      <c r="AT6" s="26"/>
      <c r="AU6" s="26"/>
      <c r="AV6" s="26"/>
      <c r="AW6" s="26"/>
      <c r="AX6" s="34"/>
      <c r="AY6" s="26"/>
      <c r="AZ6" s="26"/>
      <c r="BA6" s="26"/>
    </row>
    <row r="7" spans="2:57" ht="16.5">
      <c r="B7" s="31" t="s">
        <v>1</v>
      </c>
      <c r="C7" s="400">
        <v>22352</v>
      </c>
      <c r="D7" s="33" t="s">
        <v>4</v>
      </c>
      <c r="E7" s="26"/>
      <c r="F7" s="26"/>
      <c r="G7" s="28"/>
      <c r="H7" s="26"/>
      <c r="I7" s="26"/>
      <c r="J7" s="26"/>
      <c r="K7" s="28"/>
      <c r="L7" s="26"/>
      <c r="M7" s="26"/>
      <c r="N7" s="26"/>
      <c r="O7" s="28"/>
      <c r="P7" s="29"/>
      <c r="R7" s="304"/>
      <c r="S7" s="389" t="s">
        <v>664</v>
      </c>
      <c r="T7" s="389"/>
      <c r="U7" s="389"/>
      <c r="V7" s="390" t="s">
        <v>665</v>
      </c>
      <c r="W7" s="391"/>
      <c r="X7" s="391"/>
      <c r="Y7" s="391"/>
      <c r="Z7" s="391"/>
      <c r="AA7" s="391"/>
      <c r="AB7" s="33"/>
      <c r="AC7" s="26"/>
      <c r="AD7" s="26"/>
      <c r="AE7" s="27" t="s">
        <v>721</v>
      </c>
      <c r="AF7" s="26"/>
      <c r="AG7" s="26"/>
      <c r="AH7" s="26"/>
      <c r="AI7" s="26"/>
      <c r="AJ7" s="26"/>
      <c r="AK7" s="26"/>
      <c r="AL7" s="26"/>
      <c r="AM7" s="26"/>
      <c r="AN7" s="27" t="s">
        <v>713</v>
      </c>
      <c r="AO7" s="26"/>
      <c r="AP7" s="26"/>
      <c r="AQ7" s="26"/>
      <c r="AR7" s="26"/>
      <c r="AS7" s="26"/>
      <c r="AT7" s="26"/>
      <c r="AU7" s="26"/>
      <c r="AV7" s="33"/>
      <c r="AW7" s="33"/>
      <c r="AX7" s="169"/>
      <c r="AY7" s="33"/>
      <c r="AZ7" s="33"/>
      <c r="BA7" s="33"/>
      <c r="BB7" s="33"/>
      <c r="BC7" s="33"/>
      <c r="BD7" s="33"/>
      <c r="BE7" s="33"/>
    </row>
    <row r="8" spans="2:57">
      <c r="B8" s="31"/>
      <c r="C8" s="32">
        <f>C7/24</f>
        <v>931.33333333333337</v>
      </c>
      <c r="D8" s="33" t="s">
        <v>6</v>
      </c>
      <c r="E8" s="26"/>
      <c r="F8" s="36" t="s">
        <v>18</v>
      </c>
      <c r="G8" s="28">
        <v>4</v>
      </c>
      <c r="H8" s="26" t="s">
        <v>10</v>
      </c>
      <c r="I8" s="26"/>
      <c r="J8" s="36" t="s">
        <v>1</v>
      </c>
      <c r="K8" s="28">
        <f>C7*G11/100</f>
        <v>20597.367999999999</v>
      </c>
      <c r="L8" s="26" t="s">
        <v>4</v>
      </c>
      <c r="M8" s="26"/>
      <c r="N8" s="36" t="s">
        <v>1</v>
      </c>
      <c r="O8" s="28">
        <f>K8*K15/100</f>
        <v>20597.367999999999</v>
      </c>
      <c r="P8" s="29" t="s">
        <v>4</v>
      </c>
      <c r="R8" s="302"/>
      <c r="S8" s="303" t="s">
        <v>474</v>
      </c>
      <c r="T8" s="303" t="s">
        <v>475</v>
      </c>
      <c r="U8" s="81" t="s">
        <v>666</v>
      </c>
      <c r="V8" s="76" t="s">
        <v>420</v>
      </c>
      <c r="W8" s="77" t="s">
        <v>439</v>
      </c>
      <c r="X8" s="81" t="s">
        <v>440</v>
      </c>
      <c r="Y8" s="81" t="s">
        <v>421</v>
      </c>
      <c r="Z8" s="81" t="s">
        <v>441</v>
      </c>
      <c r="AA8" s="77" t="s">
        <v>442</v>
      </c>
      <c r="AB8" s="33"/>
      <c r="AC8" s="26"/>
      <c r="AD8" s="26"/>
      <c r="AE8" s="26"/>
      <c r="AF8" s="26"/>
      <c r="AG8" s="26" t="s">
        <v>1</v>
      </c>
      <c r="AH8" s="26" t="s">
        <v>2</v>
      </c>
      <c r="AI8" s="26"/>
      <c r="AJ8" s="26"/>
      <c r="AK8" s="26"/>
      <c r="AL8" s="26"/>
      <c r="AM8" s="26"/>
      <c r="AN8" s="26"/>
      <c r="AO8" s="26"/>
      <c r="AP8" s="26" t="s">
        <v>1</v>
      </c>
      <c r="AQ8" s="26" t="s">
        <v>2</v>
      </c>
      <c r="AR8" s="26"/>
      <c r="AS8" s="26"/>
      <c r="AT8" s="26"/>
      <c r="AU8" s="26"/>
      <c r="AV8" s="26"/>
      <c r="AW8" s="26"/>
      <c r="AX8" s="34"/>
      <c r="AY8" s="26"/>
      <c r="AZ8" s="26"/>
      <c r="BA8" s="26"/>
    </row>
    <row r="9" spans="2:57">
      <c r="B9" s="34"/>
      <c r="C9" s="96">
        <f>C7/SUM(C7,C10)</f>
        <v>0.24914173614516921</v>
      </c>
      <c r="D9" s="9" t="s">
        <v>778</v>
      </c>
      <c r="E9" s="26"/>
      <c r="F9" s="38" t="s">
        <v>26</v>
      </c>
      <c r="G9" s="39">
        <v>30</v>
      </c>
      <c r="H9" s="40" t="s">
        <v>14</v>
      </c>
      <c r="I9" s="26"/>
      <c r="J9" s="36"/>
      <c r="K9" s="28">
        <f>K8/24</f>
        <v>858.22366666666665</v>
      </c>
      <c r="L9" s="26" t="s">
        <v>6</v>
      </c>
      <c r="M9" s="26"/>
      <c r="N9" s="36"/>
      <c r="O9" s="28">
        <f>O8/24</f>
        <v>858.22366666666665</v>
      </c>
      <c r="P9" s="29" t="s">
        <v>5</v>
      </c>
      <c r="R9" s="252" t="s">
        <v>0</v>
      </c>
      <c r="S9" s="409">
        <v>12</v>
      </c>
      <c r="T9" s="409">
        <v>0.35199999999999998</v>
      </c>
      <c r="U9" s="409">
        <v>87.63</v>
      </c>
      <c r="V9" s="410">
        <v>50</v>
      </c>
      <c r="W9" s="409">
        <v>5.6</v>
      </c>
      <c r="X9" s="409">
        <v>44.4</v>
      </c>
      <c r="Y9" s="409">
        <v>0</v>
      </c>
      <c r="Z9" s="409">
        <v>0</v>
      </c>
      <c r="AA9" s="409">
        <v>0</v>
      </c>
      <c r="AB9" s="32"/>
      <c r="AC9" s="26"/>
      <c r="AD9" s="26"/>
      <c r="AE9" s="205" t="s">
        <v>718</v>
      </c>
      <c r="AF9" s="26" t="s">
        <v>476</v>
      </c>
      <c r="AG9" s="26">
        <f>(8.89*V9+26.7*W9-3.33*X9+3.33*Z9)/100</f>
        <v>4.4616800000000003</v>
      </c>
      <c r="AH9" s="26">
        <f>(8.89*V10+26.7*W10-3.33*X10+3.33*Z10)/100</f>
        <v>4.6466508000000006</v>
      </c>
      <c r="AI9" s="187" t="s">
        <v>468</v>
      </c>
      <c r="AJ9" s="26" t="s">
        <v>478</v>
      </c>
      <c r="AK9" s="26"/>
      <c r="AL9" s="26"/>
      <c r="AM9" s="26"/>
      <c r="AN9" s="205" t="s">
        <v>705</v>
      </c>
      <c r="AO9" s="26" t="s">
        <v>489</v>
      </c>
      <c r="AP9" s="26">
        <f>8100*V9/100+34000*((W9/100)-((X9/100)/8))+2500*(Z9/100)</f>
        <v>4067</v>
      </c>
      <c r="AQ9" s="26">
        <f>8100*V11/100+34000*((W11/100)-((X11/100)/8))+2500*(Z11/100)</f>
        <v>4426.9250000000002</v>
      </c>
      <c r="AR9" s="26" t="s">
        <v>160</v>
      </c>
      <c r="AS9" s="26" t="s">
        <v>491</v>
      </c>
      <c r="AT9" s="26"/>
      <c r="AU9" s="26"/>
      <c r="AV9" s="26"/>
      <c r="AW9" s="26"/>
      <c r="AX9" s="34"/>
      <c r="AY9" s="26"/>
      <c r="AZ9" s="26"/>
      <c r="BA9" s="26"/>
    </row>
    <row r="10" spans="2:57" ht="16.5">
      <c r="B10" s="31" t="s">
        <v>2</v>
      </c>
      <c r="C10" s="400">
        <v>67364</v>
      </c>
      <c r="D10" s="33" t="s">
        <v>4</v>
      </c>
      <c r="E10" s="26"/>
      <c r="F10" s="38"/>
      <c r="G10" s="39">
        <f>C10*G9/100</f>
        <v>20209.2</v>
      </c>
      <c r="H10" s="40" t="s">
        <v>162</v>
      </c>
      <c r="I10" s="26"/>
      <c r="J10" s="36" t="s">
        <v>2</v>
      </c>
      <c r="K10" s="28">
        <f>C10*(1-G11/100)</f>
        <v>5288.0740000000087</v>
      </c>
      <c r="L10" s="26" t="s">
        <v>4</v>
      </c>
      <c r="M10" s="26"/>
      <c r="N10" s="36" t="s">
        <v>2</v>
      </c>
      <c r="O10" s="28">
        <f>K10*(1-K16/100)</f>
        <v>21.152296000000053</v>
      </c>
      <c r="P10" s="29" t="s">
        <v>4</v>
      </c>
      <c r="R10" s="252" t="s">
        <v>472</v>
      </c>
      <c r="S10" s="409">
        <v>74.060079350085019</v>
      </c>
      <c r="T10" s="409">
        <v>3.0795390137917997</v>
      </c>
      <c r="U10" s="409">
        <v>22.860381636123179</v>
      </c>
      <c r="V10" s="410">
        <v>46.14</v>
      </c>
      <c r="W10" s="409">
        <v>7.354000000000001</v>
      </c>
      <c r="X10" s="409">
        <v>42.61</v>
      </c>
      <c r="Y10" s="409">
        <v>3.8899999999999997</v>
      </c>
      <c r="Z10" s="409">
        <v>6.0000000000000001E-3</v>
      </c>
      <c r="AA10" s="409">
        <v>0.55400000000000005</v>
      </c>
      <c r="AB10" s="32"/>
      <c r="AC10" s="26"/>
      <c r="AD10" s="26"/>
      <c r="AE10" s="205" t="s">
        <v>719</v>
      </c>
      <c r="AF10" s="26" t="s">
        <v>477</v>
      </c>
      <c r="AG10" s="26">
        <v>1.8</v>
      </c>
      <c r="AH10" s="26">
        <v>2</v>
      </c>
      <c r="AI10" s="187"/>
      <c r="AJ10" s="26"/>
      <c r="AK10" s="26"/>
      <c r="AL10" s="26"/>
      <c r="AM10" s="26"/>
      <c r="AN10" s="1" t="s">
        <v>706</v>
      </c>
      <c r="AO10" s="26" t="s">
        <v>490</v>
      </c>
      <c r="AP10" s="26">
        <f>AP9-600*(9*(W9/100)+(S9/100))</f>
        <v>3692.6</v>
      </c>
      <c r="AQ10" s="26">
        <f>AQ9-600*(9*(W11/100)+(S11/100))</f>
        <v>3957.8090000000002</v>
      </c>
      <c r="AR10" s="26" t="s">
        <v>160</v>
      </c>
      <c r="AS10" s="26" t="s">
        <v>492</v>
      </c>
      <c r="AT10" s="26"/>
      <c r="AU10" s="26"/>
      <c r="AV10" s="26"/>
      <c r="AW10" s="26"/>
      <c r="AX10" s="34"/>
      <c r="AY10" s="26"/>
      <c r="AZ10" s="26"/>
      <c r="BA10" s="26"/>
    </row>
    <row r="11" spans="2:57">
      <c r="B11" s="31"/>
      <c r="C11" s="32">
        <f>C10/24</f>
        <v>2806.8333333333335</v>
      </c>
      <c r="D11" s="33" t="s">
        <v>5</v>
      </c>
      <c r="E11" s="26"/>
      <c r="F11" s="43" t="s">
        <v>27</v>
      </c>
      <c r="G11" s="44">
        <f>97*0.95</f>
        <v>92.149999999999991</v>
      </c>
      <c r="H11" s="45" t="s">
        <v>12</v>
      </c>
      <c r="I11" s="26"/>
      <c r="J11" s="36"/>
      <c r="K11" s="28">
        <f>K10/24</f>
        <v>220.33641666666702</v>
      </c>
      <c r="L11" s="26" t="s">
        <v>5</v>
      </c>
      <c r="M11" s="26"/>
      <c r="N11" s="36"/>
      <c r="O11" s="28">
        <f>O10/24</f>
        <v>0.88134566666666891</v>
      </c>
      <c r="P11" s="29" t="s">
        <v>5</v>
      </c>
      <c r="R11" s="305" t="s">
        <v>473</v>
      </c>
      <c r="S11" s="411">
        <v>12</v>
      </c>
      <c r="T11" s="405">
        <v>10.45</v>
      </c>
      <c r="U11" s="411">
        <v>77.55</v>
      </c>
      <c r="V11" s="412">
        <v>46.14</v>
      </c>
      <c r="W11" s="411">
        <v>7.354000000000001</v>
      </c>
      <c r="X11" s="411">
        <v>42.61</v>
      </c>
      <c r="Y11" s="411">
        <v>3.8899999999999997</v>
      </c>
      <c r="Z11" s="411">
        <v>6.0000000000000001E-3</v>
      </c>
      <c r="AA11" s="411">
        <v>0.55400000000000005</v>
      </c>
      <c r="AB11" s="32"/>
      <c r="AC11" s="26"/>
      <c r="AD11" s="26"/>
      <c r="AE11" s="205" t="s">
        <v>720</v>
      </c>
      <c r="AF11" s="26" t="s">
        <v>479</v>
      </c>
      <c r="AG11" s="26">
        <f>AG9*AG10</f>
        <v>8.0310240000000004</v>
      </c>
      <c r="AH11" s="26">
        <f>AH9*AH10</f>
        <v>9.2933016000000013</v>
      </c>
      <c r="AI11" s="187" t="s">
        <v>468</v>
      </c>
      <c r="AJ11" s="26" t="s">
        <v>480</v>
      </c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34"/>
      <c r="AY11" s="26"/>
      <c r="AZ11" s="26"/>
      <c r="BA11" s="26"/>
    </row>
    <row r="12" spans="2:57">
      <c r="B12" s="34"/>
      <c r="C12" s="96">
        <f>C10/SUM(C10,C7)</f>
        <v>0.75085826385483079</v>
      </c>
      <c r="D12" s="9" t="s">
        <v>778</v>
      </c>
      <c r="E12" s="26"/>
      <c r="F12" s="36"/>
      <c r="G12" s="28"/>
      <c r="H12" s="26"/>
      <c r="I12" s="26"/>
      <c r="J12" s="38" t="s">
        <v>31</v>
      </c>
      <c r="K12" s="39">
        <v>100</v>
      </c>
      <c r="L12" s="40" t="s">
        <v>24</v>
      </c>
      <c r="M12" s="26"/>
      <c r="N12" s="43" t="s">
        <v>40</v>
      </c>
      <c r="O12" s="400">
        <v>12</v>
      </c>
      <c r="P12" s="46" t="s">
        <v>12</v>
      </c>
      <c r="R12" s="31"/>
      <c r="S12" s="49" t="s">
        <v>663</v>
      </c>
      <c r="T12" s="33"/>
      <c r="U12" s="33"/>
      <c r="V12" s="49"/>
      <c r="W12" s="32"/>
      <c r="X12" s="33"/>
      <c r="Y12" s="33"/>
      <c r="Z12" s="33"/>
      <c r="AA12" s="49"/>
      <c r="AB12" s="65"/>
      <c r="AC12" s="33"/>
      <c r="AD12" s="33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34"/>
      <c r="AY12" s="26"/>
      <c r="AZ12" s="26"/>
      <c r="BA12" s="26"/>
    </row>
    <row r="13" spans="2:57">
      <c r="B13" s="31" t="s">
        <v>17</v>
      </c>
      <c r="C13" s="400">
        <v>1.33</v>
      </c>
      <c r="D13" s="33" t="s">
        <v>19</v>
      </c>
      <c r="E13" s="26"/>
      <c r="F13" s="48"/>
      <c r="G13" s="9"/>
      <c r="I13" s="26"/>
      <c r="J13" s="38" t="s">
        <v>26</v>
      </c>
      <c r="K13" s="39">
        <f>K12*K8/100</f>
        <v>20597.367999999999</v>
      </c>
      <c r="L13" s="40" t="s">
        <v>20</v>
      </c>
      <c r="M13" s="26"/>
      <c r="N13" s="36" t="s">
        <v>137</v>
      </c>
      <c r="O13" s="28">
        <f>O12/100*O8</f>
        <v>2471.6841599999998</v>
      </c>
      <c r="P13" s="29" t="s">
        <v>20</v>
      </c>
      <c r="R13" s="31"/>
      <c r="S13" s="32"/>
      <c r="T13" s="33"/>
      <c r="U13" s="33"/>
      <c r="V13" s="122"/>
      <c r="W13" s="65"/>
      <c r="X13" s="120"/>
      <c r="Y13" s="33"/>
      <c r="Z13" s="33"/>
      <c r="AA13" s="49"/>
      <c r="AB13" s="32"/>
      <c r="AC13" s="33"/>
      <c r="AD13" s="33"/>
      <c r="AE13" s="27" t="s">
        <v>722</v>
      </c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34"/>
      <c r="AY13" s="26"/>
      <c r="AZ13" s="26"/>
      <c r="BA13" s="26"/>
    </row>
    <row r="14" spans="2:57">
      <c r="B14" s="31" t="s">
        <v>15</v>
      </c>
      <c r="C14" s="400">
        <v>0.87</v>
      </c>
      <c r="D14" s="33" t="s">
        <v>16</v>
      </c>
      <c r="E14" s="26"/>
      <c r="F14" s="36"/>
      <c r="G14" s="28"/>
      <c r="H14" s="26"/>
      <c r="I14" s="26"/>
      <c r="J14" s="38" t="s">
        <v>32</v>
      </c>
      <c r="K14" s="39">
        <f>K13*(0.25/100)</f>
        <v>51.49342</v>
      </c>
      <c r="L14" s="40" t="s">
        <v>13</v>
      </c>
      <c r="M14" s="26"/>
      <c r="N14" s="36"/>
      <c r="O14" s="28"/>
      <c r="P14" s="29"/>
      <c r="R14" s="31"/>
      <c r="S14" s="32"/>
      <c r="T14" s="33"/>
      <c r="U14" s="33"/>
      <c r="V14" s="49"/>
      <c r="W14" s="32"/>
      <c r="X14" s="33"/>
      <c r="Y14" s="33"/>
      <c r="Z14" s="33"/>
      <c r="AA14" s="49"/>
      <c r="AB14" s="32"/>
      <c r="AC14" s="33"/>
      <c r="AD14" s="33"/>
      <c r="AE14" s="128" t="s">
        <v>723</v>
      </c>
      <c r="AF14" s="26"/>
      <c r="AG14" s="26" t="s">
        <v>1</v>
      </c>
      <c r="AH14" s="26" t="s">
        <v>2</v>
      </c>
      <c r="AI14" s="26"/>
      <c r="AJ14" s="33"/>
      <c r="AK14" s="33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34"/>
      <c r="AY14" s="26"/>
      <c r="AZ14" s="26"/>
      <c r="BA14" s="26"/>
    </row>
    <row r="15" spans="2:57" ht="15.75" thickBot="1">
      <c r="B15" s="31" t="s">
        <v>21</v>
      </c>
      <c r="C15" s="400">
        <v>78.400000000000006</v>
      </c>
      <c r="D15" s="33" t="s">
        <v>12</v>
      </c>
      <c r="E15" s="26"/>
      <c r="F15" s="36"/>
      <c r="G15" s="28"/>
      <c r="H15" s="26"/>
      <c r="I15" s="26"/>
      <c r="J15" s="43" t="s">
        <v>647</v>
      </c>
      <c r="K15" s="44">
        <v>100</v>
      </c>
      <c r="L15" s="45" t="s">
        <v>11</v>
      </c>
      <c r="M15" s="26"/>
      <c r="N15" s="36"/>
      <c r="O15" s="28"/>
      <c r="P15" s="29"/>
      <c r="R15" s="31"/>
      <c r="S15" s="32"/>
      <c r="T15" s="33"/>
      <c r="U15" s="33"/>
      <c r="V15" s="49"/>
      <c r="W15" s="32"/>
      <c r="X15" s="33"/>
      <c r="Y15" s="33"/>
      <c r="Z15" s="33"/>
      <c r="AA15" s="49"/>
      <c r="AB15" s="32"/>
      <c r="AC15" s="33"/>
      <c r="AD15" s="33"/>
      <c r="AE15" s="187" t="s">
        <v>714</v>
      </c>
      <c r="AF15" s="26" t="s">
        <v>481</v>
      </c>
      <c r="AG15" s="207">
        <f>(8.867*V9+32.3*W9+3.33*Z9-0.8*Y9-2.63*X9+1.244*S9)/100</f>
        <v>5.2238600000000011</v>
      </c>
      <c r="AH15" s="207">
        <f>(8.867*V11+32.3*W11+3.33*Z11-0.8*Y11-2.63*X11+1.244*S11)/100</f>
        <v>5.4642926000000012</v>
      </c>
      <c r="AI15" s="187" t="s">
        <v>468</v>
      </c>
      <c r="AJ15" s="26" t="s">
        <v>485</v>
      </c>
      <c r="AK15" s="33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34"/>
      <c r="AY15" s="26"/>
      <c r="AZ15" s="26"/>
      <c r="BA15" s="26"/>
    </row>
    <row r="16" spans="2:57" ht="15.75" thickBot="1">
      <c r="B16" s="31" t="s">
        <v>22</v>
      </c>
      <c r="C16" s="400">
        <v>0.27500000000000002</v>
      </c>
      <c r="D16" s="33" t="s">
        <v>121</v>
      </c>
      <c r="E16" s="26"/>
      <c r="F16" s="50" t="s">
        <v>104</v>
      </c>
      <c r="G16" s="51">
        <f>36*2+(50*3.6)</f>
        <v>252</v>
      </c>
      <c r="H16" s="52" t="s">
        <v>109</v>
      </c>
      <c r="I16" s="26"/>
      <c r="J16" s="43" t="s">
        <v>28</v>
      </c>
      <c r="K16" s="44">
        <v>99.6</v>
      </c>
      <c r="L16" s="45" t="s">
        <v>12</v>
      </c>
      <c r="M16" s="26"/>
      <c r="N16" s="36"/>
      <c r="O16" s="28">
        <f>O10/(O8+O10)</f>
        <v>1.0258881673532901E-3</v>
      </c>
      <c r="P16" s="29" t="s">
        <v>785</v>
      </c>
      <c r="R16" s="31"/>
      <c r="S16" s="32"/>
      <c r="T16" s="33"/>
      <c r="U16" s="33"/>
      <c r="V16" s="49"/>
      <c r="W16" s="33"/>
      <c r="X16" s="33"/>
      <c r="Y16" s="33"/>
      <c r="Z16" s="33"/>
      <c r="AA16" s="49"/>
      <c r="AB16" s="32"/>
      <c r="AC16" s="33"/>
      <c r="AD16" s="33"/>
      <c r="AE16" s="187" t="s">
        <v>715</v>
      </c>
      <c r="AF16" s="26" t="s">
        <v>482</v>
      </c>
      <c r="AG16" s="207">
        <f>(8.867*V9+21.1*W9+3.33*Z9+0.8*Y9-2.63*X9)/100</f>
        <v>4.4473799999999999</v>
      </c>
      <c r="AH16" s="207">
        <f>(8.867*V11+21.1*W11+3.33*Z11+0.8*Y11-2.63*X11)/100</f>
        <v>4.5536046000000008</v>
      </c>
      <c r="AI16" s="187" t="s">
        <v>468</v>
      </c>
      <c r="AJ16" s="26" t="s">
        <v>486</v>
      </c>
      <c r="AK16" s="33"/>
      <c r="AL16" s="26"/>
      <c r="AM16" s="26"/>
      <c r="AN16" s="33"/>
      <c r="AO16" s="26"/>
      <c r="AP16" s="26"/>
      <c r="AQ16" s="26"/>
      <c r="AR16" s="26"/>
      <c r="AS16" s="26"/>
      <c r="AT16" s="26"/>
      <c r="AU16" s="26"/>
      <c r="AV16" s="26"/>
      <c r="AW16" s="26"/>
      <c r="AX16" s="34"/>
      <c r="AY16" s="26"/>
      <c r="AZ16" s="26"/>
      <c r="BA16" s="26"/>
    </row>
    <row r="17" spans="2:68" ht="15.75" thickBot="1">
      <c r="B17" s="31" t="s">
        <v>23</v>
      </c>
      <c r="C17" s="400">
        <v>0.24199999999999999</v>
      </c>
      <c r="D17" s="33" t="s">
        <v>122</v>
      </c>
      <c r="E17" s="26"/>
      <c r="F17" s="33"/>
      <c r="G17" s="32"/>
      <c r="H17" s="33"/>
      <c r="I17" s="26"/>
      <c r="J17" s="36" t="s">
        <v>240</v>
      </c>
      <c r="K17" s="28"/>
      <c r="L17" s="26"/>
      <c r="M17" s="26"/>
      <c r="N17" s="36"/>
      <c r="O17" s="28"/>
      <c r="P17" s="29"/>
      <c r="R17" s="31"/>
      <c r="S17" s="32"/>
      <c r="T17" s="33"/>
      <c r="U17" s="33"/>
      <c r="V17" s="49"/>
      <c r="W17" s="32"/>
      <c r="X17" s="33"/>
      <c r="Y17" s="33"/>
      <c r="Z17" s="33"/>
      <c r="AA17" s="49"/>
      <c r="AB17" s="32"/>
      <c r="AC17" s="33"/>
      <c r="AD17" s="33"/>
      <c r="AE17" s="187" t="s">
        <v>716</v>
      </c>
      <c r="AF17" s="26" t="s">
        <v>483</v>
      </c>
      <c r="AG17" s="207">
        <f>(AG10-1)*AG9+AG15</f>
        <v>8.7932040000000011</v>
      </c>
      <c r="AH17" s="207">
        <f>(AH10-1)*AH9+AH15</f>
        <v>10.110943400000002</v>
      </c>
      <c r="AI17" s="187" t="s">
        <v>468</v>
      </c>
      <c r="AJ17" s="33" t="s">
        <v>487</v>
      </c>
      <c r="AK17" s="33"/>
      <c r="AL17" s="33"/>
      <c r="AM17" s="33"/>
      <c r="AN17" s="33"/>
      <c r="AO17" s="26"/>
      <c r="AP17" s="26"/>
      <c r="AQ17" s="26"/>
      <c r="AR17" s="26"/>
      <c r="AS17" s="26"/>
      <c r="AT17" s="26"/>
      <c r="AU17" s="26"/>
      <c r="AV17" s="26"/>
      <c r="AW17" s="26"/>
      <c r="AX17" s="34"/>
      <c r="AY17" s="26"/>
      <c r="AZ17" s="26"/>
      <c r="BA17" s="26"/>
    </row>
    <row r="18" spans="2:68" ht="15.75" thickBot="1">
      <c r="B18" s="25" t="s">
        <v>148</v>
      </c>
      <c r="C18" s="400">
        <v>12.5</v>
      </c>
      <c r="D18" s="26"/>
      <c r="E18" s="26"/>
      <c r="F18" s="33"/>
      <c r="G18" s="32"/>
      <c r="H18" s="33"/>
      <c r="I18" s="26"/>
      <c r="J18" s="50" t="s">
        <v>104</v>
      </c>
      <c r="K18" s="51">
        <v>2966</v>
      </c>
      <c r="L18" s="52" t="s">
        <v>109</v>
      </c>
      <c r="M18" s="26"/>
      <c r="N18" s="36"/>
      <c r="O18" s="28"/>
      <c r="P18" s="29"/>
      <c r="R18" s="31"/>
      <c r="S18" s="32"/>
      <c r="T18" s="33"/>
      <c r="U18" s="33"/>
      <c r="V18" s="49"/>
      <c r="W18" s="32"/>
      <c r="X18" s="33"/>
      <c r="Y18" s="33"/>
      <c r="Z18" s="33"/>
      <c r="AA18" s="49"/>
      <c r="AB18" s="32"/>
      <c r="AC18" s="33"/>
      <c r="AD18" s="33"/>
      <c r="AE18" s="187" t="s">
        <v>717</v>
      </c>
      <c r="AF18" s="26" t="s">
        <v>484</v>
      </c>
      <c r="AG18" s="207">
        <f>(AG10-1)*AG9+AG16</f>
        <v>8.016724</v>
      </c>
      <c r="AH18" s="207">
        <f>(AH10-1)*AH9+AH16</f>
        <v>9.2002554000000014</v>
      </c>
      <c r="AI18" s="187" t="s">
        <v>468</v>
      </c>
      <c r="AJ18" s="33" t="s">
        <v>488</v>
      </c>
      <c r="AK18" s="33"/>
      <c r="AL18" s="33"/>
      <c r="AM18" s="33"/>
      <c r="AN18" s="33"/>
      <c r="AO18" s="26"/>
      <c r="AP18" s="26"/>
      <c r="AQ18" s="26"/>
      <c r="AR18" s="26"/>
      <c r="AS18" s="26"/>
      <c r="AT18" s="26"/>
      <c r="AU18" s="26"/>
      <c r="AV18" s="26"/>
      <c r="AW18" s="26"/>
      <c r="AX18" s="34"/>
      <c r="AY18" s="26"/>
      <c r="AZ18" s="26"/>
      <c r="BA18" s="26"/>
    </row>
    <row r="19" spans="2:68" ht="15.75" thickBot="1">
      <c r="B19" s="25"/>
      <c r="C19" s="28"/>
      <c r="D19" s="26"/>
      <c r="E19" s="26"/>
      <c r="F19" s="33"/>
      <c r="G19" s="32"/>
      <c r="H19" s="33"/>
      <c r="I19" s="26"/>
      <c r="J19" s="50" t="s">
        <v>250</v>
      </c>
      <c r="K19" s="51">
        <v>163.19999999999999</v>
      </c>
      <c r="L19" s="52" t="s">
        <v>109</v>
      </c>
      <c r="M19" s="26"/>
      <c r="N19" s="36"/>
      <c r="O19" s="28"/>
      <c r="P19" s="29"/>
      <c r="R19" s="31"/>
      <c r="S19" s="32"/>
      <c r="T19" s="33"/>
      <c r="U19" s="33"/>
      <c r="V19" s="33"/>
      <c r="W19" s="32"/>
      <c r="X19" s="33"/>
      <c r="Y19" s="33"/>
      <c r="Z19" s="33"/>
      <c r="AA19" s="49"/>
      <c r="AB19" s="65"/>
      <c r="AC19" s="33"/>
      <c r="AD19" s="33"/>
      <c r="AE19" s="33"/>
      <c r="AF19" s="26"/>
      <c r="AG19" s="207"/>
      <c r="AH19" s="207"/>
      <c r="AI19" s="26"/>
      <c r="AJ19" s="33"/>
      <c r="AK19" s="33"/>
      <c r="AL19" s="33"/>
      <c r="AM19" s="33"/>
      <c r="AN19" s="33"/>
      <c r="AO19" s="26"/>
      <c r="AP19" s="26"/>
      <c r="AQ19" s="26"/>
      <c r="AR19" s="26"/>
      <c r="AS19" s="26"/>
      <c r="AT19" s="26"/>
      <c r="AU19" s="26"/>
      <c r="AV19" s="26"/>
      <c r="AW19" s="26"/>
      <c r="AX19" s="34"/>
      <c r="AY19" s="26"/>
      <c r="AZ19" s="26"/>
      <c r="BA19" s="26"/>
    </row>
    <row r="20" spans="2:68">
      <c r="B20" s="253" t="s">
        <v>631</v>
      </c>
      <c r="C20" s="26" t="s">
        <v>632</v>
      </c>
      <c r="D20" s="26"/>
      <c r="E20" s="26"/>
      <c r="F20" s="26"/>
      <c r="G20" s="28"/>
      <c r="H20" s="26"/>
      <c r="I20" s="26"/>
      <c r="M20" s="26"/>
      <c r="N20" s="36"/>
      <c r="O20" s="28"/>
      <c r="P20" s="29"/>
      <c r="R20" s="31"/>
      <c r="S20" s="32"/>
      <c r="T20" s="33"/>
      <c r="U20" s="33"/>
      <c r="V20" s="33"/>
      <c r="W20" s="32"/>
      <c r="X20" s="33"/>
      <c r="Y20" s="33"/>
      <c r="Z20" s="33"/>
      <c r="AA20" s="122"/>
      <c r="AB20" s="65"/>
      <c r="AC20" s="49"/>
      <c r="AD20" s="33"/>
      <c r="AE20" s="26" t="s">
        <v>724</v>
      </c>
      <c r="AF20" s="26"/>
      <c r="AG20" s="26"/>
      <c r="AH20" s="26"/>
      <c r="AI20" s="26"/>
      <c r="AJ20" s="33"/>
      <c r="AK20" s="33" t="s">
        <v>725</v>
      </c>
      <c r="AL20" s="33"/>
      <c r="AM20" s="33"/>
      <c r="AN20" s="33"/>
      <c r="AO20" s="26"/>
      <c r="AP20" s="26"/>
      <c r="AQ20" s="26"/>
      <c r="AR20" s="26"/>
      <c r="AS20" s="26"/>
      <c r="AT20" s="26"/>
      <c r="AU20" s="26"/>
      <c r="AV20" s="26"/>
      <c r="AW20" s="26"/>
      <c r="AX20" s="34"/>
      <c r="AY20" s="26"/>
      <c r="AZ20" s="26"/>
      <c r="BA20" s="26"/>
    </row>
    <row r="21" spans="2:68">
      <c r="B21" s="254" t="s">
        <v>635</v>
      </c>
      <c r="C21" s="401">
        <v>1.3</v>
      </c>
      <c r="D21" s="255"/>
      <c r="E21" s="259" t="s">
        <v>634</v>
      </c>
      <c r="F21" s="403">
        <v>86</v>
      </c>
      <c r="G21" s="255" t="s">
        <v>638</v>
      </c>
      <c r="H21" s="259" t="s">
        <v>642</v>
      </c>
      <c r="I21" s="403">
        <v>30</v>
      </c>
      <c r="J21" s="255" t="s">
        <v>638</v>
      </c>
      <c r="K21" s="32"/>
      <c r="L21" s="35" t="s">
        <v>815</v>
      </c>
      <c r="M21" s="32"/>
      <c r="N21" s="33"/>
      <c r="O21" s="33"/>
      <c r="P21" s="29"/>
      <c r="R21" s="31"/>
      <c r="S21" s="32"/>
      <c r="T21" s="33"/>
      <c r="U21" s="33"/>
      <c r="V21" s="33"/>
      <c r="W21" s="32"/>
      <c r="X21" s="33"/>
      <c r="Y21" s="33"/>
      <c r="Z21" s="33"/>
      <c r="AA21" s="49"/>
      <c r="AB21" s="32"/>
      <c r="AC21" s="33"/>
      <c r="AD21" s="33"/>
      <c r="AE21" s="187"/>
      <c r="AF21" s="309"/>
      <c r="AG21" s="79" t="s">
        <v>1</v>
      </c>
      <c r="AH21" s="79" t="s">
        <v>2</v>
      </c>
      <c r="AI21" s="310"/>
      <c r="AJ21" s="33"/>
      <c r="AK21" s="33"/>
      <c r="AL21" s="316"/>
      <c r="AM21" s="79" t="s">
        <v>1</v>
      </c>
      <c r="AN21" s="79" t="s">
        <v>2</v>
      </c>
      <c r="AO21" s="79" t="s">
        <v>310</v>
      </c>
      <c r="AP21" s="71" t="s">
        <v>498</v>
      </c>
      <c r="AQ21" s="26"/>
      <c r="AR21" s="26"/>
      <c r="AS21" s="26"/>
      <c r="AT21" s="26"/>
      <c r="AU21" s="26"/>
      <c r="AV21" s="26"/>
      <c r="AW21" s="26"/>
      <c r="AX21" s="34"/>
      <c r="AY21" s="26"/>
      <c r="AZ21" s="26"/>
      <c r="BA21" s="26"/>
    </row>
    <row r="22" spans="2:68" ht="18">
      <c r="B22" s="60" t="s">
        <v>584</v>
      </c>
      <c r="C22" s="400">
        <v>60</v>
      </c>
      <c r="D22" s="256" t="s">
        <v>638</v>
      </c>
      <c r="E22" s="260" t="s">
        <v>637</v>
      </c>
      <c r="F22" s="404">
        <v>30</v>
      </c>
      <c r="G22" s="256" t="s">
        <v>638</v>
      </c>
      <c r="H22" s="260" t="s">
        <v>650</v>
      </c>
      <c r="I22" s="404">
        <v>50</v>
      </c>
      <c r="J22" s="256" t="s">
        <v>638</v>
      </c>
      <c r="K22" s="32"/>
      <c r="L22" s="367" t="s">
        <v>812</v>
      </c>
      <c r="M22" s="372" t="s">
        <v>813</v>
      </c>
      <c r="N22" s="373" t="s">
        <v>320</v>
      </c>
      <c r="O22" s="374" t="s">
        <v>814</v>
      </c>
      <c r="P22" s="29"/>
      <c r="R22" s="82"/>
      <c r="S22" s="32"/>
      <c r="T22" s="33"/>
      <c r="U22" s="33"/>
      <c r="V22" s="33"/>
      <c r="W22" s="32"/>
      <c r="X22" s="33"/>
      <c r="Y22" s="33"/>
      <c r="Z22" s="33"/>
      <c r="AA22" s="49"/>
      <c r="AB22" s="32"/>
      <c r="AC22" s="33"/>
      <c r="AD22" s="33"/>
      <c r="AE22" s="187"/>
      <c r="AF22" s="311" t="s">
        <v>667</v>
      </c>
      <c r="AG22" s="207">
        <f>1.867*V9/100</f>
        <v>0.9335</v>
      </c>
      <c r="AH22" s="207">
        <f>1.867*V11/100</f>
        <v>0.86143380000000003</v>
      </c>
      <c r="AI22" s="312" t="s">
        <v>468</v>
      </c>
      <c r="AJ22" s="33"/>
      <c r="AK22" s="187"/>
      <c r="AL22" s="311" t="s">
        <v>667</v>
      </c>
      <c r="AM22" s="33">
        <f>AG22*$T$41</f>
        <v>897.29000797333333</v>
      </c>
      <c r="AN22" s="33">
        <f>AH22*($U$41)</f>
        <v>0.85032746036022622</v>
      </c>
      <c r="AO22" s="26">
        <f>SUM(AM22:AN22)</f>
        <v>898.14033543369351</v>
      </c>
      <c r="AP22" s="317">
        <f t="shared" ref="AP22:AP27" si="0">AO22/$AO$28</f>
        <v>0.10600523150774334</v>
      </c>
      <c r="AQ22" s="26"/>
      <c r="AR22" s="26"/>
      <c r="AS22" s="26"/>
      <c r="AT22" s="26"/>
      <c r="AU22" s="26"/>
      <c r="AV22" s="26"/>
      <c r="AW22" s="26"/>
      <c r="AX22" s="34"/>
      <c r="AY22" s="26"/>
      <c r="AZ22" s="26"/>
      <c r="BA22" s="26"/>
    </row>
    <row r="23" spans="2:68" ht="18">
      <c r="B23" s="60" t="s">
        <v>258</v>
      </c>
      <c r="C23" s="400">
        <v>60</v>
      </c>
      <c r="D23" s="256" t="s">
        <v>638</v>
      </c>
      <c r="E23" s="260" t="s">
        <v>639</v>
      </c>
      <c r="F23" s="404">
        <v>75</v>
      </c>
      <c r="G23" s="261" t="s">
        <v>640</v>
      </c>
      <c r="H23" s="266" t="s">
        <v>644</v>
      </c>
      <c r="I23" s="406">
        <v>86</v>
      </c>
      <c r="J23" s="267" t="s">
        <v>646</v>
      </c>
      <c r="K23" s="28"/>
      <c r="L23" s="368" t="s">
        <v>810</v>
      </c>
      <c r="M23" s="28">
        <v>86.071133651817703</v>
      </c>
      <c r="N23" s="370">
        <v>83.615075250484296</v>
      </c>
      <c r="O23" s="230">
        <v>59.843762978422397</v>
      </c>
      <c r="P23" s="29"/>
      <c r="R23" s="31"/>
      <c r="S23" s="32"/>
      <c r="T23" s="33"/>
      <c r="U23" s="33"/>
      <c r="V23" s="33"/>
      <c r="W23" s="32"/>
      <c r="X23" s="33"/>
      <c r="Y23" s="33"/>
      <c r="Z23" s="33"/>
      <c r="AA23" s="122"/>
      <c r="AB23" s="65"/>
      <c r="AC23" s="33"/>
      <c r="AD23" s="33"/>
      <c r="AE23" s="187"/>
      <c r="AF23" s="311" t="s">
        <v>668</v>
      </c>
      <c r="AG23" s="207">
        <f>0.21*(AG10-1)*AG9</f>
        <v>0.74956224000000005</v>
      </c>
      <c r="AH23" s="207">
        <f>0.21*(AH10-1)*AH9</f>
        <v>0.97579666800000009</v>
      </c>
      <c r="AI23" s="312" t="s">
        <v>468</v>
      </c>
      <c r="AJ23" s="33"/>
      <c r="AK23" s="187"/>
      <c r="AL23" s="311" t="s">
        <v>668</v>
      </c>
      <c r="AM23" s="33">
        <f t="shared" ref="AM23:AM27" si="1">AG23*$T$41</f>
        <v>720.48710048860164</v>
      </c>
      <c r="AN23" s="33">
        <f t="shared" ref="AN23:AN26" si="2">AH23*($U$41)</f>
        <v>0.96321586467632325</v>
      </c>
      <c r="AO23" s="26">
        <f t="shared" ref="AO23:AO27" si="3">SUM(AM23:AN23)</f>
        <v>721.45031635327791</v>
      </c>
      <c r="AP23" s="317">
        <f t="shared" si="0"/>
        <v>8.515095557915732E-2</v>
      </c>
      <c r="AQ23" s="26"/>
      <c r="AR23" s="26"/>
      <c r="AS23" s="26"/>
      <c r="AT23" s="26"/>
      <c r="AU23" s="26"/>
      <c r="AV23" s="26"/>
      <c r="AW23" s="26"/>
      <c r="AX23" s="34"/>
      <c r="AY23" s="26"/>
      <c r="AZ23" s="26"/>
      <c r="BA23" s="26"/>
    </row>
    <row r="24" spans="2:68" ht="18">
      <c r="B24" s="257" t="s">
        <v>636</v>
      </c>
      <c r="C24" s="402">
        <v>70</v>
      </c>
      <c r="D24" s="258" t="s">
        <v>638</v>
      </c>
      <c r="E24" s="262" t="s">
        <v>641</v>
      </c>
      <c r="F24" s="405">
        <v>60</v>
      </c>
      <c r="G24" s="263" t="s">
        <v>638</v>
      </c>
      <c r="H24" s="268" t="s">
        <v>645</v>
      </c>
      <c r="I24" s="407">
        <v>95</v>
      </c>
      <c r="J24" s="269" t="s">
        <v>646</v>
      </c>
      <c r="K24" s="28"/>
      <c r="L24" s="369" t="s">
        <v>811</v>
      </c>
      <c r="M24" s="77">
        <v>112.68643759847485</v>
      </c>
      <c r="N24" s="371">
        <v>124.67741114608657</v>
      </c>
      <c r="O24" s="231">
        <v>171.36767472635944</v>
      </c>
      <c r="P24" s="29"/>
      <c r="R24" s="31"/>
      <c r="S24" s="32"/>
      <c r="T24" s="33"/>
      <c r="U24" s="33"/>
      <c r="V24" s="33"/>
      <c r="W24" s="32"/>
      <c r="X24" s="33"/>
      <c r="Y24" s="33"/>
      <c r="Z24" s="33"/>
      <c r="AA24" s="49"/>
      <c r="AB24" s="32"/>
      <c r="AC24" s="33"/>
      <c r="AD24" s="33"/>
      <c r="AE24" s="187"/>
      <c r="AF24" s="311" t="s">
        <v>669</v>
      </c>
      <c r="AG24" s="207">
        <f>0.79*AG10*AG9+0.8*Y9/100</f>
        <v>6.3445089600000015</v>
      </c>
      <c r="AH24" s="207">
        <f>0.79*AH10*AH9+0.8*Y11/100</f>
        <v>7.3728282640000007</v>
      </c>
      <c r="AI24" s="312" t="s">
        <v>468</v>
      </c>
      <c r="AJ24" s="33"/>
      <c r="AK24" s="187"/>
      <c r="AL24" s="311" t="s">
        <v>669</v>
      </c>
      <c r="AM24" s="33">
        <f t="shared" si="1"/>
        <v>6098.4086719928082</v>
      </c>
      <c r="AN24" s="33">
        <f t="shared" si="2"/>
        <v>7.2777714705404124</v>
      </c>
      <c r="AO24" s="26">
        <f t="shared" si="3"/>
        <v>6105.686443463349</v>
      </c>
      <c r="AP24" s="317">
        <f t="shared" si="0"/>
        <v>0.72063872361381698</v>
      </c>
      <c r="AQ24" s="208"/>
      <c r="AR24" s="26"/>
      <c r="AS24" s="26"/>
      <c r="AT24" s="26"/>
      <c r="AU24" s="26"/>
      <c r="AV24" s="26"/>
      <c r="AW24" s="26"/>
      <c r="AX24" s="34"/>
      <c r="AY24" s="26"/>
      <c r="AZ24" s="26"/>
      <c r="BA24" s="26"/>
    </row>
    <row r="25" spans="2:68" ht="18.75" thickBot="1">
      <c r="B25" s="61"/>
      <c r="C25" s="62"/>
      <c r="D25" s="62"/>
      <c r="E25" s="62"/>
      <c r="F25" s="62"/>
      <c r="G25" s="63"/>
      <c r="H25" s="62"/>
      <c r="I25" s="62"/>
      <c r="J25" s="62"/>
      <c r="K25" s="63"/>
      <c r="L25" s="377" t="s">
        <v>816</v>
      </c>
      <c r="M25" s="408">
        <v>100</v>
      </c>
      <c r="N25" s="408">
        <v>100</v>
      </c>
      <c r="O25" s="408">
        <v>100</v>
      </c>
      <c r="P25" s="64"/>
      <c r="R25" s="31"/>
      <c r="S25" s="32"/>
      <c r="T25" s="33"/>
      <c r="U25" s="33"/>
      <c r="V25" s="33"/>
      <c r="W25" s="32"/>
      <c r="X25" s="33"/>
      <c r="Y25" s="33"/>
      <c r="Z25" s="33"/>
      <c r="AA25" s="49"/>
      <c r="AB25" s="32"/>
      <c r="AC25" s="33"/>
      <c r="AD25" s="33"/>
      <c r="AE25" s="187"/>
      <c r="AF25" s="311" t="s">
        <v>670</v>
      </c>
      <c r="AG25" s="207">
        <f>11.2*W9/100+1.244*S9/100</f>
        <v>0.77647999999999984</v>
      </c>
      <c r="AH25" s="207">
        <f>11.2*W11/100+1.244*S11/100</f>
        <v>0.97292800000000002</v>
      </c>
      <c r="AI25" s="312" t="s">
        <v>468</v>
      </c>
      <c r="AJ25" s="33"/>
      <c r="AK25" s="187"/>
      <c r="AL25" s="311" t="s">
        <v>670</v>
      </c>
      <c r="AM25" s="33">
        <f t="shared" si="1"/>
        <v>746.36073421653316</v>
      </c>
      <c r="AN25" s="33">
        <f t="shared" si="2"/>
        <v>0.96038418199210918</v>
      </c>
      <c r="AO25" s="26">
        <f t="shared" si="3"/>
        <v>747.3211183985253</v>
      </c>
      <c r="AP25" s="317">
        <f t="shared" si="0"/>
        <v>8.8204420891761476E-2</v>
      </c>
      <c r="AQ25" s="187"/>
      <c r="AR25" s="28"/>
      <c r="AS25" s="26"/>
      <c r="AT25" s="26"/>
      <c r="AU25" s="26"/>
      <c r="AV25" s="26"/>
      <c r="AW25" s="26"/>
      <c r="AX25" s="34"/>
      <c r="AY25" s="26"/>
      <c r="AZ25" s="26"/>
      <c r="BA25" s="26"/>
    </row>
    <row r="26" spans="2:68" ht="18">
      <c r="N26" s="10"/>
      <c r="R26" s="34"/>
      <c r="S26" s="26"/>
      <c r="T26" s="26"/>
      <c r="U26" s="26"/>
      <c r="V26" s="26"/>
      <c r="W26" s="28"/>
      <c r="X26" s="26"/>
      <c r="Y26" s="26"/>
      <c r="Z26" s="26"/>
      <c r="AA26" s="36"/>
      <c r="AB26" s="28"/>
      <c r="AC26" s="33"/>
      <c r="AD26" s="33"/>
      <c r="AE26" s="187"/>
      <c r="AF26" s="311" t="s">
        <v>671</v>
      </c>
      <c r="AG26" s="207">
        <f>0.7*Z9/100</f>
        <v>0</v>
      </c>
      <c r="AH26" s="207">
        <f>0.7*Z11/100</f>
        <v>4.1999999999999998E-5</v>
      </c>
      <c r="AI26" s="312" t="s">
        <v>468</v>
      </c>
      <c r="AJ26" s="33"/>
      <c r="AK26" s="187"/>
      <c r="AL26" s="311" t="s">
        <v>671</v>
      </c>
      <c r="AM26" s="33">
        <f t="shared" si="1"/>
        <v>0</v>
      </c>
      <c r="AN26" s="33">
        <f t="shared" si="2"/>
        <v>4.1458500160000102E-5</v>
      </c>
      <c r="AO26" s="28">
        <f t="shared" si="3"/>
        <v>4.1458500160000102E-5</v>
      </c>
      <c r="AP26" s="317">
        <f t="shared" si="0"/>
        <v>4.8932418844127042E-9</v>
      </c>
      <c r="AQ26" s="187"/>
      <c r="AR26" s="26"/>
      <c r="AS26" s="26"/>
      <c r="AT26" s="26"/>
      <c r="AU26" s="26"/>
      <c r="AV26" s="26"/>
      <c r="AW26" s="26"/>
      <c r="AX26" s="34"/>
      <c r="AY26" s="26"/>
      <c r="AZ26" s="26"/>
      <c r="BA26" s="26"/>
    </row>
    <row r="27" spans="2:68">
      <c r="R27" s="34"/>
      <c r="S27" s="26"/>
      <c r="T27" s="26"/>
      <c r="U27" s="26"/>
      <c r="V27" s="26"/>
      <c r="W27" s="28"/>
      <c r="X27" s="26"/>
      <c r="Y27" s="26"/>
      <c r="Z27" s="26"/>
      <c r="AA27" s="28"/>
      <c r="AB27" s="26"/>
      <c r="AC27" s="33"/>
      <c r="AD27" s="33"/>
      <c r="AE27" s="187"/>
      <c r="AF27" s="311" t="s">
        <v>469</v>
      </c>
      <c r="AG27" s="207">
        <f>1.028*AA9/100</f>
        <v>0</v>
      </c>
      <c r="AH27" s="207">
        <f>1.028*AA11/100</f>
        <v>5.6951200000000006E-3</v>
      </c>
      <c r="AI27" s="312" t="s">
        <v>468</v>
      </c>
      <c r="AJ27" s="33"/>
      <c r="AK27" s="187"/>
      <c r="AL27" s="311" t="s">
        <v>469</v>
      </c>
      <c r="AM27" s="33">
        <f t="shared" si="1"/>
        <v>0</v>
      </c>
      <c r="AN27" s="33">
        <f>AH27*($U$41)</f>
        <v>5.6216936531242817E-3</v>
      </c>
      <c r="AO27" s="26">
        <f t="shared" si="3"/>
        <v>5.6216936531242817E-3</v>
      </c>
      <c r="AP27" s="317">
        <f t="shared" si="0"/>
        <v>6.6351427906563065E-7</v>
      </c>
      <c r="AQ27" s="187"/>
      <c r="AR27" s="26"/>
      <c r="AS27" s="26"/>
      <c r="AT27" s="26"/>
      <c r="AU27" s="26"/>
      <c r="AV27" s="26"/>
      <c r="AW27" s="26"/>
      <c r="AX27" s="34"/>
      <c r="AY27" s="26"/>
      <c r="AZ27" s="26"/>
      <c r="BA27" s="26"/>
    </row>
    <row r="28" spans="2:68">
      <c r="R28" s="34"/>
      <c r="S28" s="26"/>
      <c r="T28" s="26"/>
      <c r="U28" s="26"/>
      <c r="V28" s="26"/>
      <c r="W28" s="28"/>
      <c r="X28" s="26"/>
      <c r="Y28" s="26"/>
      <c r="Z28" s="26"/>
      <c r="AA28" s="28"/>
      <c r="AB28" s="26"/>
      <c r="AC28" s="33"/>
      <c r="AD28" s="33"/>
      <c r="AE28" s="187"/>
      <c r="AF28" s="313" t="s">
        <v>672</v>
      </c>
      <c r="AG28" s="314">
        <f>SUM(AG22:AG27)</f>
        <v>8.8040512</v>
      </c>
      <c r="AH28" s="314">
        <f>SUM(AH22:AH27)</f>
        <v>10.188723852000001</v>
      </c>
      <c r="AI28" s="315" t="s">
        <v>468</v>
      </c>
      <c r="AJ28" s="33"/>
      <c r="AK28" s="187"/>
      <c r="AL28" s="313" t="s">
        <v>672</v>
      </c>
      <c r="AM28" s="318"/>
      <c r="AN28" s="319"/>
      <c r="AO28" s="320">
        <f>SUM(AO22:AO27)</f>
        <v>8472.6038768009985</v>
      </c>
      <c r="AP28" s="315"/>
      <c r="AQ28" s="187"/>
      <c r="AR28" s="26"/>
      <c r="AS28" s="26"/>
      <c r="AT28" s="26"/>
      <c r="AU28" s="26"/>
      <c r="AV28" s="26"/>
      <c r="AW28" s="26"/>
      <c r="AX28" s="34"/>
      <c r="AY28" s="26"/>
      <c r="AZ28" s="26"/>
      <c r="BA28" s="26"/>
    </row>
    <row r="29" spans="2:68">
      <c r="R29" s="34"/>
      <c r="S29" s="26"/>
      <c r="T29" s="26"/>
      <c r="U29" s="26"/>
      <c r="V29" s="26"/>
      <c r="W29" s="28"/>
      <c r="X29" s="26"/>
      <c r="Y29" s="26"/>
      <c r="Z29" s="26"/>
      <c r="AA29" s="28"/>
      <c r="AB29" s="26"/>
      <c r="AC29" s="26"/>
      <c r="AD29" s="33"/>
      <c r="AE29" s="28"/>
      <c r="AF29" s="26"/>
      <c r="AG29" s="26"/>
      <c r="AH29" s="33"/>
      <c r="AI29" s="49"/>
      <c r="AJ29" s="32"/>
      <c r="AK29" s="49"/>
      <c r="AL29" s="33"/>
      <c r="AM29" s="3"/>
      <c r="AN29" s="32"/>
      <c r="AO29" s="3"/>
      <c r="AP29" s="33"/>
      <c r="AQ29" s="49"/>
      <c r="AR29" s="32"/>
      <c r="AS29" s="49"/>
      <c r="AT29" s="26"/>
      <c r="AU29" s="26"/>
      <c r="AV29" s="26"/>
      <c r="AW29" s="26"/>
      <c r="AX29" s="34"/>
      <c r="AY29" s="26"/>
      <c r="AZ29" s="26"/>
      <c r="BA29" s="26"/>
    </row>
    <row r="30" spans="2:68">
      <c r="B30" s="17"/>
      <c r="R30" s="34"/>
      <c r="S30" s="26"/>
      <c r="T30" s="26"/>
      <c r="U30" s="26"/>
      <c r="V30" s="26"/>
      <c r="W30" s="28"/>
      <c r="X30" s="26"/>
      <c r="Y30" s="26"/>
      <c r="Z30" s="26"/>
      <c r="AA30" s="28"/>
      <c r="AB30" s="26"/>
      <c r="AC30" s="26"/>
      <c r="AD30" s="26"/>
      <c r="AE30" s="28"/>
      <c r="AF30" s="26"/>
      <c r="AG30" s="26"/>
      <c r="AH30" s="33"/>
      <c r="AI30" s="49"/>
      <c r="AJ30" s="32"/>
      <c r="AK30" s="49"/>
      <c r="AL30" s="33"/>
      <c r="AM30" s="3"/>
      <c r="AN30" s="32"/>
      <c r="AO30" s="49"/>
      <c r="AP30" s="33"/>
      <c r="AQ30" s="49"/>
      <c r="AR30" s="32"/>
      <c r="AS30" s="49"/>
      <c r="AT30" s="26"/>
      <c r="AU30" s="26"/>
      <c r="AV30" s="26"/>
      <c r="AW30" s="26"/>
      <c r="AX30" s="34"/>
      <c r="AY30" s="26"/>
      <c r="AZ30" s="26"/>
      <c r="BA30" s="26"/>
    </row>
    <row r="31" spans="2:68">
      <c r="B31" s="17"/>
      <c r="R31" s="34"/>
      <c r="S31" s="26"/>
      <c r="T31" s="26"/>
      <c r="U31" s="26"/>
      <c r="V31" s="26"/>
      <c r="W31" s="28"/>
      <c r="X31" s="26"/>
      <c r="Y31" s="26"/>
      <c r="Z31" s="26"/>
      <c r="AA31" s="28"/>
      <c r="AB31" s="26"/>
      <c r="AC31" s="26"/>
      <c r="AD31" s="26"/>
      <c r="AE31" s="28"/>
      <c r="AF31" s="33"/>
      <c r="AG31" s="33"/>
      <c r="AH31" s="33"/>
      <c r="AI31" s="49"/>
      <c r="AJ31" s="32"/>
      <c r="AK31" s="49"/>
      <c r="AL31" s="33"/>
      <c r="AM31" s="49"/>
      <c r="AN31" s="32"/>
      <c r="AO31" s="3"/>
      <c r="AP31" s="33"/>
      <c r="AQ31" s="49"/>
      <c r="AR31" s="32"/>
      <c r="AS31" s="49"/>
      <c r="AT31" s="33"/>
      <c r="AU31" s="33"/>
      <c r="AV31" s="33"/>
      <c r="AW31" s="33"/>
      <c r="AX31" s="169"/>
      <c r="AY31" s="33"/>
      <c r="AZ31" s="33"/>
      <c r="BA31" s="33"/>
      <c r="BB31" s="33"/>
      <c r="BC31" s="33"/>
      <c r="BD31" s="33"/>
      <c r="BE31" s="187"/>
      <c r="BF31" s="187"/>
      <c r="BG31" s="194"/>
      <c r="BH31" s="187"/>
    </row>
    <row r="32" spans="2:68">
      <c r="B32" s="17"/>
      <c r="R32" s="34"/>
      <c r="S32" s="26"/>
      <c r="T32" s="26"/>
      <c r="U32" s="26"/>
      <c r="V32" s="26"/>
      <c r="W32" s="28"/>
      <c r="X32" s="26"/>
      <c r="Y32" s="26"/>
      <c r="Z32" s="26"/>
      <c r="AA32" s="28"/>
      <c r="AB32" s="26"/>
      <c r="AC32" s="26"/>
      <c r="AD32" s="210"/>
      <c r="AE32" s="28"/>
      <c r="AF32" s="33"/>
      <c r="AG32" s="33"/>
      <c r="AH32" s="33"/>
      <c r="AI32" s="49"/>
      <c r="AJ32" s="32"/>
      <c r="AK32" s="49"/>
      <c r="AL32" s="33"/>
      <c r="AM32" s="49"/>
      <c r="AN32" s="32"/>
      <c r="AO32" s="49"/>
      <c r="AP32" s="33"/>
      <c r="AQ32" s="49"/>
      <c r="AR32" s="32"/>
      <c r="AS32" s="49"/>
      <c r="AT32" s="33"/>
      <c r="AU32" s="33"/>
      <c r="AV32" s="33"/>
      <c r="AW32" s="33"/>
      <c r="AX32" s="169"/>
      <c r="AY32" s="26"/>
      <c r="AZ32" s="26"/>
      <c r="BA32" s="26"/>
      <c r="BD32" s="33"/>
      <c r="BE32" s="187"/>
      <c r="BF32" s="187"/>
      <c r="BG32" s="194"/>
      <c r="BH32" s="187"/>
      <c r="BJ32" s="33"/>
      <c r="BK32" s="33"/>
      <c r="BL32" s="33"/>
      <c r="BM32" s="33"/>
      <c r="BN32" s="33"/>
      <c r="BO32" s="33"/>
      <c r="BP32" s="33"/>
    </row>
    <row r="33" spans="2:68">
      <c r="B33" s="17"/>
      <c r="R33" s="34"/>
      <c r="S33" s="26"/>
      <c r="T33" s="26"/>
      <c r="U33" s="26"/>
      <c r="V33" s="26"/>
      <c r="W33" s="28"/>
      <c r="X33" s="26"/>
      <c r="Y33" s="26"/>
      <c r="Z33" s="26"/>
      <c r="AA33" s="28"/>
      <c r="AB33" s="26"/>
      <c r="AC33" s="26"/>
      <c r="AD33" s="210"/>
      <c r="AE33" s="28"/>
      <c r="AF33" s="33"/>
      <c r="AG33" s="26"/>
      <c r="AH33" s="26"/>
      <c r="AI33" s="26"/>
      <c r="AJ33" s="28"/>
      <c r="AK33" s="49"/>
      <c r="AL33" s="33"/>
      <c r="AM33" s="49"/>
      <c r="AN33" s="32"/>
      <c r="AO33" s="49"/>
      <c r="AP33" s="33"/>
      <c r="AQ33" s="49"/>
      <c r="AR33" s="32"/>
      <c r="AS33" s="49"/>
      <c r="AT33" s="33"/>
      <c r="AU33" s="33"/>
      <c r="AV33" s="33"/>
      <c r="AW33" s="33"/>
      <c r="AX33" s="169"/>
      <c r="AY33" s="26"/>
      <c r="AZ33" s="26"/>
      <c r="BA33" s="26"/>
      <c r="BD33" s="33"/>
      <c r="BE33" s="187"/>
      <c r="BF33" s="187"/>
      <c r="BG33" s="187"/>
      <c r="BH33" s="187"/>
      <c r="BJ33" s="33"/>
      <c r="BK33" s="33"/>
      <c r="BL33" s="33"/>
      <c r="BM33" s="33"/>
      <c r="BN33" s="33"/>
      <c r="BO33" s="33"/>
      <c r="BP33" s="33"/>
    </row>
    <row r="34" spans="2:68">
      <c r="B34" s="17"/>
      <c r="R34" s="167" t="s">
        <v>463</v>
      </c>
      <c r="S34" s="33"/>
      <c r="T34" s="33"/>
      <c r="U34" s="33"/>
      <c r="V34" s="33"/>
      <c r="W34" s="32"/>
      <c r="X34" s="27" t="s">
        <v>465</v>
      </c>
      <c r="Y34" s="33"/>
      <c r="Z34" s="26"/>
      <c r="AA34" s="28"/>
      <c r="AB34" s="26"/>
      <c r="AC34" s="26"/>
      <c r="AD34" s="26"/>
      <c r="AE34" s="28"/>
      <c r="AF34" s="26"/>
      <c r="AG34" s="26"/>
      <c r="AH34" s="120" t="s">
        <v>464</v>
      </c>
      <c r="AI34" s="32"/>
      <c r="AJ34" s="33"/>
      <c r="AK34" s="26"/>
      <c r="AL34" s="26"/>
      <c r="AM34" s="26"/>
      <c r="AN34" s="28"/>
      <c r="AO34" s="49"/>
      <c r="AP34" s="49"/>
      <c r="AQ34" s="49"/>
      <c r="AR34" s="28"/>
      <c r="AS34" s="49"/>
      <c r="AT34" s="26"/>
      <c r="AU34" s="33"/>
      <c r="AX34" s="34"/>
      <c r="AY34" s="26"/>
      <c r="AZ34" s="26"/>
      <c r="BA34" s="26"/>
      <c r="BH34" s="187"/>
      <c r="BJ34" s="33"/>
      <c r="BK34" s="120"/>
      <c r="BL34" s="33"/>
      <c r="BM34" s="33"/>
      <c r="BN34" s="33"/>
      <c r="BO34" s="33"/>
      <c r="BP34" s="33"/>
    </row>
    <row r="35" spans="2:68">
      <c r="B35" s="17"/>
      <c r="R35" s="169" t="s">
        <v>700</v>
      </c>
      <c r="S35" s="33"/>
      <c r="T35" s="33"/>
      <c r="U35" s="33"/>
      <c r="V35" s="33"/>
      <c r="W35" s="32"/>
      <c r="X35" s="33"/>
      <c r="Y35" s="33"/>
      <c r="Z35" s="26"/>
      <c r="AA35" s="28"/>
      <c r="AB35" s="26"/>
      <c r="AC35" s="26"/>
      <c r="AD35" s="26"/>
      <c r="AE35" s="28"/>
      <c r="AF35" s="26"/>
      <c r="AG35" s="26"/>
      <c r="AH35" s="120" t="s">
        <v>527</v>
      </c>
      <c r="AI35" s="32"/>
      <c r="AJ35" s="33"/>
      <c r="AK35" s="26"/>
      <c r="AL35" s="26"/>
      <c r="AM35" s="122" t="s">
        <v>466</v>
      </c>
      <c r="AN35" s="28"/>
      <c r="AO35" s="49"/>
      <c r="AP35" s="33"/>
      <c r="AQ35" s="26"/>
      <c r="AS35" s="120" t="s">
        <v>529</v>
      </c>
      <c r="AT35" s="33"/>
      <c r="AU35" s="33"/>
      <c r="AX35" s="34"/>
      <c r="AY35" s="26"/>
      <c r="AZ35" s="26"/>
      <c r="BA35" s="26"/>
      <c r="BH35" s="187"/>
      <c r="BJ35" s="33"/>
      <c r="BK35" s="33"/>
      <c r="BL35" s="33"/>
      <c r="BM35" s="33"/>
      <c r="BN35" s="33"/>
      <c r="BO35" s="33"/>
      <c r="BP35" s="33"/>
    </row>
    <row r="36" spans="2:68">
      <c r="B36" s="17"/>
      <c r="R36" s="169"/>
      <c r="S36" s="33"/>
      <c r="T36" s="33"/>
      <c r="U36" s="33"/>
      <c r="V36" s="33"/>
      <c r="W36" s="32"/>
      <c r="X36" s="120" t="s">
        <v>503</v>
      </c>
      <c r="Y36" s="33"/>
      <c r="Z36" s="26"/>
      <c r="AA36" s="28"/>
      <c r="AB36" s="26"/>
      <c r="AC36" s="26"/>
      <c r="AD36" s="26"/>
      <c r="AE36" s="28"/>
      <c r="AF36" s="26"/>
      <c r="AG36" s="26"/>
      <c r="AH36" s="26"/>
      <c r="AI36" s="28"/>
      <c r="AJ36" s="26"/>
      <c r="AK36" s="26"/>
      <c r="AL36" s="26"/>
      <c r="AM36" s="26"/>
      <c r="AN36" s="28"/>
      <c r="AO36" s="49"/>
      <c r="AP36" s="33"/>
      <c r="AQ36" s="49"/>
      <c r="AS36" s="120" t="s">
        <v>530</v>
      </c>
      <c r="AT36" s="33"/>
      <c r="AU36" s="33"/>
      <c r="AX36" s="34"/>
      <c r="AY36" s="26"/>
      <c r="AZ36" s="26"/>
      <c r="BA36" s="26"/>
      <c r="BH36" s="187"/>
      <c r="BJ36" s="33"/>
      <c r="BK36" s="49"/>
      <c r="BL36" s="33"/>
      <c r="BM36" s="33"/>
      <c r="BN36" s="49"/>
      <c r="BO36" s="174"/>
      <c r="BP36" s="33"/>
    </row>
    <row r="37" spans="2:68" ht="17.25" thickBot="1">
      <c r="B37" s="17"/>
      <c r="R37" s="385" t="s">
        <v>699</v>
      </c>
      <c r="S37" s="386"/>
      <c r="T37" s="175" t="s">
        <v>298</v>
      </c>
      <c r="U37" s="175" t="s">
        <v>495</v>
      </c>
      <c r="V37" s="175" t="s">
        <v>698</v>
      </c>
      <c r="W37" s="32"/>
      <c r="X37" s="316"/>
      <c r="Y37" s="323" t="s">
        <v>1</v>
      </c>
      <c r="Z37" s="79" t="s">
        <v>2</v>
      </c>
      <c r="AA37" s="70" t="s">
        <v>234</v>
      </c>
      <c r="AB37" s="71"/>
      <c r="AC37" s="26"/>
      <c r="AD37" s="26"/>
      <c r="AE37" s="28"/>
      <c r="AF37" s="26"/>
      <c r="AG37" s="26"/>
      <c r="AH37" s="26" t="s">
        <v>524</v>
      </c>
      <c r="AI37" s="28">
        <f>AA39</f>
        <v>8462.1006565530424</v>
      </c>
      <c r="AJ37" s="28" t="s">
        <v>506</v>
      </c>
      <c r="AK37" s="26"/>
      <c r="AL37" s="26"/>
      <c r="AM37" s="26" t="s">
        <v>539</v>
      </c>
      <c r="AN37" s="28"/>
      <c r="AO37" s="49"/>
      <c r="AP37" s="33"/>
      <c r="AQ37" s="49"/>
      <c r="AS37" s="33"/>
      <c r="AT37" s="33">
        <v>1.45</v>
      </c>
      <c r="AU37" s="26" t="s">
        <v>555</v>
      </c>
      <c r="AV37" s="33" t="s">
        <v>662</v>
      </c>
      <c r="AX37" s="34"/>
      <c r="AY37" s="26"/>
      <c r="AZ37" s="26"/>
      <c r="BA37" s="26"/>
      <c r="BD37" s="33"/>
      <c r="BE37" s="187"/>
      <c r="BF37" s="187"/>
      <c r="BH37" s="187"/>
      <c r="BJ37" s="33"/>
      <c r="BK37" s="49"/>
      <c r="BL37" s="33"/>
      <c r="BM37" s="33"/>
      <c r="BN37" s="33"/>
      <c r="BO37" s="33"/>
      <c r="BP37" s="33"/>
    </row>
    <row r="38" spans="2:68" ht="18" thickTop="1" thickBot="1">
      <c r="B38" s="17"/>
      <c r="R38" s="395" t="s">
        <v>496</v>
      </c>
      <c r="S38" s="396"/>
      <c r="T38" s="176">
        <f>SUM(T40,T52,T53)</f>
        <v>3730437.0656616935</v>
      </c>
      <c r="U38" s="176">
        <f>SUM(U40,U52,U53)</f>
        <v>4125.7937081492419</v>
      </c>
      <c r="V38" s="177"/>
      <c r="W38" s="32"/>
      <c r="X38" s="74" t="s">
        <v>525</v>
      </c>
      <c r="Y38" s="33">
        <f>T38-T59</f>
        <v>3236970.9425328262</v>
      </c>
      <c r="Z38" s="33">
        <f>U38-U59</f>
        <v>3573.5536449879464</v>
      </c>
      <c r="AA38" s="28">
        <f>SUM(Y38:Z38)</f>
        <v>3240544.496177814</v>
      </c>
      <c r="AB38" s="75" t="s">
        <v>149</v>
      </c>
      <c r="AC38" s="26"/>
      <c r="AD38" s="26"/>
      <c r="AE38" s="28"/>
      <c r="AF38" s="26"/>
      <c r="AG38" s="26"/>
      <c r="AH38" s="33" t="s">
        <v>501</v>
      </c>
      <c r="AI38" s="32">
        <f>Y80</f>
        <v>957</v>
      </c>
      <c r="AJ38" s="156" t="s">
        <v>180</v>
      </c>
      <c r="AK38" s="33"/>
      <c r="AL38" s="26"/>
      <c r="AM38" s="26" t="s">
        <v>542</v>
      </c>
      <c r="AN38" s="28">
        <v>400</v>
      </c>
      <c r="AO38" s="26"/>
      <c r="AP38" s="33"/>
      <c r="AQ38" s="49"/>
      <c r="AS38" s="50"/>
      <c r="AT38" s="51">
        <f>AT37/1000*AI37*24/0.2778</f>
        <v>1060.0471664796466</v>
      </c>
      <c r="AU38" s="58" t="s">
        <v>110</v>
      </c>
      <c r="AX38" s="34"/>
      <c r="AY38" s="26"/>
      <c r="AZ38" s="26"/>
      <c r="BA38" s="26"/>
      <c r="BD38" s="33"/>
      <c r="BE38" s="187"/>
      <c r="BF38" s="187"/>
      <c r="BH38" s="187"/>
      <c r="BJ38" s="33"/>
      <c r="BK38" s="49"/>
      <c r="BL38" s="33"/>
      <c r="BM38" s="33"/>
      <c r="BN38" s="33"/>
      <c r="BO38" s="33"/>
      <c r="BP38" s="33"/>
    </row>
    <row r="39" spans="2:68" ht="16.5">
      <c r="B39" s="17"/>
      <c r="R39" s="397"/>
      <c r="S39" s="398"/>
      <c r="T39" s="398"/>
      <c r="U39" s="398"/>
      <c r="V39" s="399"/>
      <c r="W39" s="32"/>
      <c r="X39" s="311" t="s">
        <v>504</v>
      </c>
      <c r="Y39" s="33">
        <f>T41*AG17</f>
        <v>8452.1200720633606</v>
      </c>
      <c r="Z39" s="33">
        <f>U41*AH17</f>
        <v>9.980584489682192</v>
      </c>
      <c r="AA39" s="28">
        <f>SUM(Y39:Z39)</f>
        <v>8462.1006565530424</v>
      </c>
      <c r="AB39" s="230" t="s">
        <v>506</v>
      </c>
      <c r="AC39" s="26"/>
      <c r="AD39" s="26"/>
      <c r="AE39" s="28"/>
      <c r="AF39" s="26"/>
      <c r="AG39" s="26"/>
      <c r="AH39" s="26" t="s">
        <v>728</v>
      </c>
      <c r="AI39" s="28">
        <v>225</v>
      </c>
      <c r="AJ39" s="156" t="s">
        <v>180</v>
      </c>
      <c r="AK39" s="33" t="s">
        <v>526</v>
      </c>
      <c r="AL39" s="26"/>
      <c r="AM39" s="26" t="s">
        <v>541</v>
      </c>
      <c r="AN39" s="28">
        <v>130</v>
      </c>
      <c r="AO39" s="156" t="s">
        <v>180</v>
      </c>
      <c r="AP39" s="33"/>
      <c r="AQ39" s="49"/>
      <c r="AR39" s="32"/>
      <c r="AS39" s="33"/>
      <c r="AT39" s="33"/>
      <c r="AU39" s="33"/>
      <c r="AX39" s="34"/>
      <c r="AY39" s="26"/>
      <c r="AZ39" s="26"/>
      <c r="BA39" s="26"/>
      <c r="BD39" s="33"/>
      <c r="BE39" s="187"/>
      <c r="BF39" s="187"/>
      <c r="BH39" s="187"/>
      <c r="BJ39" s="33"/>
      <c r="BK39" s="33"/>
      <c r="BL39" s="33"/>
      <c r="BM39" s="33"/>
      <c r="BN39" s="33"/>
      <c r="BO39" s="32"/>
      <c r="BP39" s="33"/>
    </row>
    <row r="40" spans="2:68" ht="17.25" thickBot="1">
      <c r="B40" s="17"/>
      <c r="R40" s="211" t="s">
        <v>697</v>
      </c>
      <c r="S40" s="178"/>
      <c r="T40" s="179">
        <f>T41*T42*T43</f>
        <v>18498.380855539199</v>
      </c>
      <c r="U40" s="179">
        <f>U41*U42*U43</f>
        <v>25.818577106784065</v>
      </c>
      <c r="V40" s="180" t="s">
        <v>443</v>
      </c>
      <c r="W40" s="32"/>
      <c r="X40" s="313" t="s">
        <v>505</v>
      </c>
      <c r="Y40" s="318">
        <f>Y38/Y39</f>
        <v>382.97739678733711</v>
      </c>
      <c r="Z40" s="81">
        <f>Z38/Z39</f>
        <v>358.05053789006479</v>
      </c>
      <c r="AA40" s="335">
        <f>AA38/AA39</f>
        <v>382.94799692182102</v>
      </c>
      <c r="AB40" s="78"/>
      <c r="AC40" s="26"/>
      <c r="AD40" s="33"/>
      <c r="AE40" s="32"/>
      <c r="AF40" s="33"/>
      <c r="AG40" s="33"/>
      <c r="AH40" s="198" t="s">
        <v>521</v>
      </c>
      <c r="AI40" s="32">
        <f>AI38-AI39</f>
        <v>732</v>
      </c>
      <c r="AJ40" s="156" t="s">
        <v>180</v>
      </c>
      <c r="AK40" s="49"/>
      <c r="AL40" s="26"/>
      <c r="AM40" s="198" t="s">
        <v>521</v>
      </c>
      <c r="AN40" s="32">
        <f>AN38-AN39</f>
        <v>270</v>
      </c>
      <c r="AO40" s="156" t="s">
        <v>180</v>
      </c>
      <c r="AP40" s="33"/>
      <c r="AQ40" s="49"/>
      <c r="AR40" s="32"/>
      <c r="AS40" s="33"/>
      <c r="AT40" s="33"/>
      <c r="AU40" s="33"/>
      <c r="AX40" s="34"/>
      <c r="AY40" s="26"/>
      <c r="AZ40" s="26"/>
      <c r="BA40" s="26"/>
      <c r="BD40" s="33"/>
      <c r="BE40" s="187"/>
      <c r="BF40" s="187"/>
      <c r="BG40" s="187"/>
      <c r="BH40" s="187"/>
      <c r="BJ40" s="33"/>
      <c r="BK40" s="33"/>
      <c r="BL40" s="33"/>
      <c r="BM40" s="33"/>
      <c r="BN40" s="33"/>
      <c r="BO40" s="33"/>
      <c r="BP40" s="33"/>
    </row>
    <row r="41" spans="2:68" ht="15.75" thickBot="1">
      <c r="B41" s="17"/>
      <c r="R41" s="392"/>
      <c r="S41" s="181" t="s">
        <v>695</v>
      </c>
      <c r="T41" s="182">
        <f>O9+(O9*O12/100)</f>
        <v>961.21050666666667</v>
      </c>
      <c r="U41" s="182">
        <f>O11+(O11*O12/100)</f>
        <v>0.98710714666666921</v>
      </c>
      <c r="V41" s="181" t="s">
        <v>444</v>
      </c>
      <c r="W41" s="32"/>
      <c r="X41" s="33"/>
      <c r="Y41" s="33"/>
      <c r="Z41" s="33"/>
      <c r="AA41" s="32"/>
      <c r="AB41" s="33"/>
      <c r="AC41" s="33"/>
      <c r="AD41" s="33"/>
      <c r="AE41" s="32"/>
      <c r="AF41" s="33"/>
      <c r="AG41" s="33"/>
      <c r="AH41" s="53" t="s">
        <v>673</v>
      </c>
      <c r="AI41" s="54">
        <f>AI37*AI40*AC76*24*0.004184</f>
        <v>247526.85454978215</v>
      </c>
      <c r="AJ41" s="55" t="s">
        <v>110</v>
      </c>
      <c r="AK41" s="49"/>
      <c r="AL41" s="26"/>
      <c r="AM41" s="26" t="s">
        <v>543</v>
      </c>
      <c r="AN41" s="28">
        <f>4.2/4.1868</f>
        <v>1.0031527658354831</v>
      </c>
      <c r="AO41" s="26" t="s">
        <v>544</v>
      </c>
      <c r="AP41" s="33"/>
      <c r="AQ41" s="49"/>
      <c r="AR41" s="32"/>
      <c r="AS41" s="203" t="s">
        <v>531</v>
      </c>
      <c r="AT41" s="33"/>
      <c r="AU41" s="33"/>
      <c r="AX41" s="34"/>
      <c r="AY41" s="26"/>
      <c r="AZ41" s="26"/>
      <c r="BA41" s="26"/>
      <c r="BD41" s="33"/>
      <c r="BE41" s="187"/>
      <c r="BF41" s="187"/>
      <c r="BH41" s="187"/>
      <c r="BJ41" s="33"/>
      <c r="BK41" s="33"/>
      <c r="BL41" s="33"/>
      <c r="BM41" s="33"/>
      <c r="BN41" s="33"/>
      <c r="BO41" s="33"/>
      <c r="BP41" s="33"/>
    </row>
    <row r="42" spans="2:68" ht="16.5">
      <c r="B42" s="17"/>
      <c r="R42" s="393"/>
      <c r="S42" s="181" t="s">
        <v>696</v>
      </c>
      <c r="T42" s="181">
        <f>(T46*T49)+(T47*T50)+(T48*T51)</f>
        <v>0.21383199999999997</v>
      </c>
      <c r="U42" s="181">
        <f>(U46*U49)+(U47*U50)+(U48*U51)</f>
        <v>0.29061999999999999</v>
      </c>
      <c r="V42" s="181" t="s">
        <v>507</v>
      </c>
      <c r="W42" s="32"/>
      <c r="X42" s="33"/>
      <c r="Y42" s="33"/>
      <c r="Z42" s="32"/>
      <c r="AA42" s="32"/>
      <c r="AB42" s="33"/>
      <c r="AC42" s="33"/>
      <c r="AD42" s="33"/>
      <c r="AE42" s="32"/>
      <c r="AF42" s="33"/>
      <c r="AG42" s="33"/>
      <c r="AH42" s="26"/>
      <c r="AI42" s="26"/>
      <c r="AJ42" s="28"/>
      <c r="AK42" s="49"/>
      <c r="AL42" s="26"/>
      <c r="AM42" s="26" t="s">
        <v>547</v>
      </c>
      <c r="AN42" s="28">
        <f>AN41*AN39</f>
        <v>130.40985955861279</v>
      </c>
      <c r="AO42" s="49" t="s">
        <v>160</v>
      </c>
      <c r="AP42" s="33"/>
      <c r="AQ42" s="49"/>
      <c r="AR42" s="5"/>
      <c r="AS42" s="33" t="s">
        <v>556</v>
      </c>
      <c r="AT42" s="32">
        <f>AI37*AP26*24</f>
        <v>9.9377052870627813E-4</v>
      </c>
      <c r="AU42" s="33" t="s">
        <v>557</v>
      </c>
      <c r="AX42" s="34"/>
      <c r="AY42" s="33"/>
      <c r="AZ42" s="33"/>
      <c r="BA42" s="33"/>
      <c r="BB42" s="33"/>
      <c r="BC42" s="33"/>
      <c r="BD42" s="33"/>
      <c r="BE42" s="187"/>
      <c r="BF42" s="187"/>
      <c r="BH42" s="187"/>
      <c r="BJ42" s="33"/>
      <c r="BK42" s="33"/>
      <c r="BL42" s="33"/>
      <c r="BM42" s="33"/>
      <c r="BN42" s="33"/>
      <c r="BO42" s="33"/>
      <c r="BP42" s="33"/>
    </row>
    <row r="43" spans="2:68">
      <c r="B43" s="17"/>
      <c r="R43" s="393"/>
      <c r="S43" s="181" t="s">
        <v>694</v>
      </c>
      <c r="T43" s="181">
        <v>90</v>
      </c>
      <c r="U43" s="181">
        <v>90</v>
      </c>
      <c r="V43" s="181" t="s">
        <v>445</v>
      </c>
      <c r="W43" s="32"/>
      <c r="X43" s="33" t="s">
        <v>508</v>
      </c>
      <c r="Y43" s="33"/>
      <c r="Z43" s="32"/>
      <c r="AA43" s="32"/>
      <c r="AB43" s="33"/>
      <c r="AC43" s="33"/>
      <c r="AD43" s="33"/>
      <c r="AE43" s="32"/>
      <c r="AF43" s="33"/>
      <c r="AG43" s="33"/>
      <c r="AH43" s="27" t="s">
        <v>528</v>
      </c>
      <c r="AI43" s="26"/>
      <c r="AJ43" s="32"/>
      <c r="AK43" s="49"/>
      <c r="AL43" s="26"/>
      <c r="AM43" s="26" t="s">
        <v>546</v>
      </c>
      <c r="AN43" s="28">
        <f>3200/4.1868</f>
        <v>764.30686920798701</v>
      </c>
      <c r="AO43" s="26" t="s">
        <v>160</v>
      </c>
      <c r="AP43" s="26"/>
      <c r="AQ43" s="49"/>
      <c r="AR43" s="32"/>
      <c r="AS43" s="33"/>
      <c r="AT43" s="32">
        <f>AT42/0.022414</f>
        <v>4.4337045092633094E-2</v>
      </c>
      <c r="AU43" s="33" t="s">
        <v>559</v>
      </c>
      <c r="AX43" s="34"/>
      <c r="AY43" s="33"/>
      <c r="AZ43" s="33"/>
      <c r="BA43" s="33"/>
      <c r="BB43" s="33"/>
      <c r="BC43" s="33"/>
      <c r="BD43" s="33"/>
      <c r="BE43" s="187"/>
      <c r="BF43" s="187"/>
      <c r="BH43" s="187"/>
      <c r="BJ43" s="33"/>
      <c r="BK43" s="33"/>
      <c r="BL43" s="33"/>
      <c r="BM43" s="33"/>
      <c r="BN43" s="33"/>
      <c r="BO43" s="33"/>
      <c r="BP43" s="33"/>
    </row>
    <row r="44" spans="2:68">
      <c r="B44" s="17"/>
      <c r="R44" s="394"/>
      <c r="S44" s="181"/>
      <c r="T44" s="181"/>
      <c r="U44" s="181"/>
      <c r="V44" s="181"/>
      <c r="W44" s="32"/>
      <c r="X44" s="33"/>
      <c r="Y44" s="33"/>
      <c r="Z44" s="32"/>
      <c r="AA44" s="32"/>
      <c r="AB44" s="33"/>
      <c r="AC44" s="33"/>
      <c r="AD44" s="33"/>
      <c r="AE44" s="32"/>
      <c r="AF44" s="33"/>
      <c r="AG44" s="33"/>
      <c r="AH44" s="33"/>
      <c r="AI44" s="49"/>
      <c r="AJ44" s="32"/>
      <c r="AK44" s="33"/>
      <c r="AL44" s="26"/>
      <c r="AM44" s="26" t="s">
        <v>548</v>
      </c>
      <c r="AN44" s="28">
        <f>AN43-AN42</f>
        <v>633.89700964937424</v>
      </c>
      <c r="AO44" s="26" t="s">
        <v>549</v>
      </c>
      <c r="AP44" s="198" t="s">
        <v>545</v>
      </c>
      <c r="AQ44" s="33"/>
      <c r="AR44" s="32"/>
      <c r="AS44" s="33" t="s">
        <v>560</v>
      </c>
      <c r="AT44" s="32">
        <f>AT43*2</f>
        <v>8.8674090185266188E-2</v>
      </c>
      <c r="AU44" s="33" t="s">
        <v>558</v>
      </c>
      <c r="AX44" s="34"/>
      <c r="AY44" s="33"/>
      <c r="AZ44" s="33"/>
      <c r="BA44" s="33"/>
      <c r="BB44" s="33"/>
      <c r="BC44" s="33"/>
      <c r="BD44" s="33"/>
      <c r="BE44" s="187"/>
      <c r="BF44" s="187"/>
      <c r="BH44" s="187"/>
      <c r="BJ44" s="33"/>
      <c r="BK44" s="33"/>
      <c r="BL44" s="33"/>
      <c r="BM44" s="33"/>
      <c r="BN44" s="33"/>
      <c r="BO44" s="33"/>
      <c r="BP44" s="33"/>
    </row>
    <row r="45" spans="2:68">
      <c r="B45" s="17"/>
      <c r="R45" s="212" t="s">
        <v>446</v>
      </c>
      <c r="S45" s="181"/>
      <c r="T45" s="181"/>
      <c r="U45" s="181"/>
      <c r="V45" s="181"/>
      <c r="W45" s="32"/>
      <c r="X45" s="187" t="s">
        <v>692</v>
      </c>
      <c r="Y45" s="187"/>
      <c r="Z45" s="32"/>
      <c r="AA45" s="32"/>
      <c r="AB45" s="33"/>
      <c r="AC45" s="33"/>
      <c r="AD45" s="33"/>
      <c r="AE45" s="32"/>
      <c r="AF45" s="33"/>
      <c r="AG45" s="33"/>
      <c r="AH45" s="33" t="s">
        <v>499</v>
      </c>
      <c r="AI45" s="32">
        <f>(T54*T41)+(U41*U54)</f>
        <v>7728.6781325176489</v>
      </c>
      <c r="AJ45" s="33" t="s">
        <v>500</v>
      </c>
      <c r="AK45" s="26"/>
      <c r="AL45" s="26"/>
      <c r="AM45" s="27"/>
      <c r="AN45" s="6">
        <f>AN44*4.1868/1000</f>
        <v>2.6539999999999999</v>
      </c>
      <c r="AO45" s="27" t="s">
        <v>550</v>
      </c>
      <c r="AP45" s="26"/>
      <c r="AQ45" s="26"/>
      <c r="AR45" s="28"/>
      <c r="AS45" s="33"/>
      <c r="AT45" s="28">
        <v>84.01</v>
      </c>
      <c r="AU45" s="26" t="s">
        <v>276</v>
      </c>
      <c r="AX45" s="34"/>
      <c r="AY45" s="26"/>
      <c r="AZ45" s="26"/>
      <c r="BA45" s="26"/>
      <c r="BE45" s="187"/>
      <c r="BF45" s="187"/>
      <c r="BH45" s="187"/>
      <c r="BJ45" s="33"/>
      <c r="BK45" s="33"/>
      <c r="BL45" s="33"/>
      <c r="BM45" s="33"/>
      <c r="BN45" s="33"/>
      <c r="BO45" s="33"/>
      <c r="BP45" s="33"/>
    </row>
    <row r="46" spans="2:68" ht="16.5">
      <c r="B46" s="17"/>
      <c r="R46" s="392"/>
      <c r="S46" s="181" t="s">
        <v>447</v>
      </c>
      <c r="T46" s="183">
        <v>0</v>
      </c>
      <c r="U46" s="183">
        <f>AB10/100</f>
        <v>0</v>
      </c>
      <c r="V46" s="181"/>
      <c r="W46" s="32"/>
      <c r="X46" s="321" t="s">
        <v>677</v>
      </c>
      <c r="Y46" s="322">
        <v>800</v>
      </c>
      <c r="Z46" s="323">
        <v>900</v>
      </c>
      <c r="AA46" s="323">
        <v>1100</v>
      </c>
      <c r="AB46" s="324">
        <v>1200</v>
      </c>
      <c r="AC46" s="26"/>
      <c r="AD46" s="26"/>
      <c r="AE46" s="28"/>
      <c r="AF46" s="33"/>
      <c r="AG46" s="33"/>
      <c r="AH46" s="33" t="s">
        <v>502</v>
      </c>
      <c r="AI46" s="32">
        <f>S21</f>
        <v>0</v>
      </c>
      <c r="AJ46" s="156" t="s">
        <v>180</v>
      </c>
      <c r="AK46" s="26"/>
      <c r="AL46" s="26"/>
      <c r="AM46" s="26"/>
      <c r="AN46" s="28"/>
      <c r="AO46" s="26"/>
      <c r="AP46" s="26"/>
      <c r="AQ46" s="26"/>
      <c r="AR46" s="28"/>
      <c r="AS46" s="40"/>
      <c r="AT46" s="39">
        <f>AT44*AT45/1000</f>
        <v>7.4495103164642128E-3</v>
      </c>
      <c r="AU46" s="40" t="s">
        <v>20</v>
      </c>
      <c r="AV46" s="26"/>
      <c r="AW46" s="26"/>
      <c r="AX46" s="34"/>
      <c r="AY46" s="26"/>
      <c r="AZ46" s="26"/>
      <c r="BA46" s="26"/>
      <c r="BE46" s="187"/>
      <c r="BF46" s="187"/>
      <c r="BH46" s="187"/>
      <c r="BJ46" s="33"/>
      <c r="BK46" s="33"/>
      <c r="BL46" s="33"/>
      <c r="BM46" s="33"/>
      <c r="BN46" s="33"/>
      <c r="BO46" s="33"/>
      <c r="BP46" s="33"/>
    </row>
    <row r="47" spans="2:68" ht="18">
      <c r="B47" s="17"/>
      <c r="R47" s="393"/>
      <c r="S47" s="181" t="s">
        <v>448</v>
      </c>
      <c r="T47" s="183">
        <f>U9/100</f>
        <v>0.87629999999999997</v>
      </c>
      <c r="U47" s="183">
        <f>U11/100</f>
        <v>0.77549999999999997</v>
      </c>
      <c r="V47" s="181"/>
      <c r="W47" s="32"/>
      <c r="X47" s="311" t="s">
        <v>667</v>
      </c>
      <c r="Y47" s="174">
        <v>0.58899999999999997</v>
      </c>
      <c r="Z47" s="174">
        <v>0.6</v>
      </c>
      <c r="AA47" s="174">
        <v>0.61599999999999999</v>
      </c>
      <c r="AB47" s="325">
        <v>0.623</v>
      </c>
      <c r="AC47" s="26"/>
      <c r="AD47" s="26"/>
      <c r="AE47" s="28"/>
      <c r="AF47" s="33"/>
      <c r="AG47" s="33"/>
      <c r="AH47" s="33" t="s">
        <v>520</v>
      </c>
      <c r="AI47" s="28">
        <v>90</v>
      </c>
      <c r="AJ47" s="156" t="s">
        <v>180</v>
      </c>
      <c r="AK47" s="26"/>
      <c r="AL47" s="26"/>
      <c r="AM47" s="26"/>
      <c r="AN47" s="28"/>
      <c r="AO47" s="26"/>
      <c r="AP47" s="26"/>
      <c r="AQ47" s="26"/>
      <c r="AR47" s="28"/>
      <c r="AS47" s="26"/>
      <c r="AT47" s="26"/>
      <c r="AU47" s="26"/>
      <c r="AV47" s="26"/>
      <c r="AW47" s="26"/>
      <c r="AX47" s="34"/>
      <c r="AY47" s="26"/>
      <c r="AZ47" s="26"/>
      <c r="BA47" s="26"/>
      <c r="BJ47" s="33"/>
      <c r="BK47" s="33"/>
      <c r="BL47" s="33"/>
      <c r="BM47" s="33"/>
      <c r="BN47" s="33"/>
      <c r="BO47" s="33"/>
      <c r="BP47" s="33"/>
    </row>
    <row r="48" spans="2:68" ht="18">
      <c r="B48" s="17"/>
      <c r="R48" s="393"/>
      <c r="S48" s="181" t="s">
        <v>449</v>
      </c>
      <c r="T48" s="183">
        <f>T9/100</f>
        <v>3.5199999999999997E-3</v>
      </c>
      <c r="U48" s="183">
        <f>T11/100</f>
        <v>0.1045</v>
      </c>
      <c r="V48" s="181"/>
      <c r="W48" s="32"/>
      <c r="X48" s="311" t="s">
        <v>668</v>
      </c>
      <c r="Y48" s="174">
        <v>0.375</v>
      </c>
      <c r="Z48" s="174">
        <v>0.38</v>
      </c>
      <c r="AA48" s="174">
        <v>0.38700000000000001</v>
      </c>
      <c r="AB48" s="325">
        <v>0.38900000000000001</v>
      </c>
      <c r="AC48" s="26"/>
      <c r="AD48" s="26"/>
      <c r="AE48" s="28"/>
      <c r="AF48" s="33"/>
      <c r="AG48" s="33"/>
      <c r="AH48" s="198" t="s">
        <v>521</v>
      </c>
      <c r="AI48" s="32">
        <f>AI47-AI46</f>
        <v>90</v>
      </c>
      <c r="AJ48" s="156" t="s">
        <v>180</v>
      </c>
      <c r="AK48" s="26"/>
      <c r="AL48" s="26"/>
      <c r="AM48" s="45" t="s">
        <v>540</v>
      </c>
      <c r="AN48" s="44">
        <f>F21</f>
        <v>86</v>
      </c>
      <c r="AO48" s="43" t="s">
        <v>12</v>
      </c>
      <c r="AP48" s="26"/>
      <c r="AQ48" s="26"/>
      <c r="AR48" s="28"/>
      <c r="AS48" s="26"/>
      <c r="AT48" s="26"/>
      <c r="AU48" s="26"/>
      <c r="AV48" s="26"/>
      <c r="AW48" s="26"/>
      <c r="AX48" s="34"/>
      <c r="AY48" s="26"/>
      <c r="AZ48" s="26"/>
      <c r="BA48" s="26"/>
      <c r="BJ48" s="33"/>
      <c r="BK48" s="33"/>
      <c r="BL48" s="33"/>
      <c r="BM48" s="33"/>
      <c r="BN48" s="33"/>
      <c r="BO48" s="33"/>
      <c r="BP48" s="33"/>
    </row>
    <row r="49" spans="2:68" ht="18">
      <c r="B49" s="17"/>
      <c r="R49" s="393"/>
      <c r="S49" s="181" t="s">
        <v>701</v>
      </c>
      <c r="T49" s="183">
        <v>1</v>
      </c>
      <c r="U49" s="183">
        <v>1</v>
      </c>
      <c r="V49" s="181" t="s">
        <v>450</v>
      </c>
      <c r="W49" s="32"/>
      <c r="X49" s="311" t="s">
        <v>669</v>
      </c>
      <c r="Y49" s="174">
        <v>0.35399999999999998</v>
      </c>
      <c r="Z49" s="174">
        <v>0.35799999999999998</v>
      </c>
      <c r="AA49" s="174">
        <v>0.36699999999999999</v>
      </c>
      <c r="AB49" s="325">
        <v>0.371</v>
      </c>
      <c r="AC49" s="26"/>
      <c r="AD49" s="26"/>
      <c r="AE49" s="28"/>
      <c r="AF49" s="33"/>
      <c r="AG49" s="33"/>
      <c r="AH49" s="33" t="s">
        <v>522</v>
      </c>
      <c r="AI49" s="32">
        <v>0.29799999999999999</v>
      </c>
      <c r="AJ49" s="32" t="s">
        <v>523</v>
      </c>
      <c r="AK49" s="26"/>
      <c r="AL49" s="26"/>
      <c r="AM49" s="26"/>
      <c r="AN49" s="28"/>
      <c r="AO49" s="26"/>
      <c r="AP49" s="26"/>
      <c r="AQ49" s="26"/>
      <c r="AR49" s="28"/>
      <c r="AS49" s="26"/>
      <c r="AT49" s="26"/>
      <c r="AU49" s="26"/>
      <c r="AV49" s="26"/>
      <c r="AW49" s="26"/>
      <c r="AX49" s="34"/>
      <c r="AY49" s="26"/>
      <c r="AZ49" s="26"/>
      <c r="BA49" s="26"/>
      <c r="BJ49" s="33"/>
      <c r="BK49" s="33"/>
      <c r="BL49" s="33"/>
      <c r="BM49" s="33"/>
      <c r="BN49" s="33"/>
      <c r="BO49" s="33"/>
      <c r="BP49" s="33"/>
    </row>
    <row r="50" spans="2:68" ht="18.75" thickBot="1">
      <c r="B50" s="17"/>
      <c r="R50" s="393"/>
      <c r="S50" s="181" t="s">
        <v>702</v>
      </c>
      <c r="T50" s="183">
        <v>0.24</v>
      </c>
      <c r="U50" s="183">
        <v>0.24</v>
      </c>
      <c r="V50" s="181"/>
      <c r="W50" s="32"/>
      <c r="X50" s="311" t="s">
        <v>670</v>
      </c>
      <c r="Y50" s="174">
        <v>0.45</v>
      </c>
      <c r="Z50" s="174">
        <v>0.46400000000000002</v>
      </c>
      <c r="AA50" s="174">
        <v>0.48899999999999999</v>
      </c>
      <c r="AB50" s="325">
        <v>0.5</v>
      </c>
      <c r="AC50" s="26"/>
      <c r="AD50" s="26"/>
      <c r="AE50" s="28"/>
      <c r="AF50" s="33"/>
      <c r="AG50" s="33"/>
      <c r="AH50" s="33"/>
      <c r="AI50" s="32">
        <f>AI49*AI45*AI48</f>
        <v>207283.14751412332</v>
      </c>
      <c r="AJ50" s="32" t="s">
        <v>149</v>
      </c>
      <c r="AK50" s="26"/>
      <c r="AL50" s="26"/>
      <c r="AM50" s="26"/>
      <c r="AN50" s="28">
        <f>AN48/100*AI72</f>
        <v>173685.27711646209</v>
      </c>
      <c r="AO50" s="26" t="s">
        <v>110</v>
      </c>
      <c r="AP50" s="26"/>
      <c r="AQ50" s="26"/>
      <c r="AR50" s="28"/>
      <c r="AS50" s="4" t="s">
        <v>532</v>
      </c>
      <c r="AT50" s="33"/>
      <c r="AU50" s="187"/>
      <c r="AV50" s="187"/>
      <c r="AW50" s="26"/>
      <c r="AX50" s="34"/>
      <c r="AY50" s="26"/>
      <c r="AZ50" s="26"/>
      <c r="BA50" s="26"/>
      <c r="BJ50" s="33"/>
      <c r="BK50" s="33"/>
      <c r="BL50" s="33"/>
      <c r="BM50" s="33"/>
      <c r="BN50" s="33"/>
      <c r="BO50" s="33"/>
      <c r="BP50" s="33"/>
    </row>
    <row r="51" spans="2:68" ht="18.75" thickBot="1">
      <c r="B51" s="17"/>
      <c r="R51" s="394"/>
      <c r="S51" s="181" t="s">
        <v>703</v>
      </c>
      <c r="T51" s="183">
        <v>1</v>
      </c>
      <c r="U51" s="183">
        <v>1</v>
      </c>
      <c r="V51" s="181"/>
      <c r="W51" s="32"/>
      <c r="X51" s="311" t="s">
        <v>671</v>
      </c>
      <c r="Y51" s="174">
        <v>0.59299999999999997</v>
      </c>
      <c r="Z51" s="174">
        <v>0.59399999999999997</v>
      </c>
      <c r="AA51" s="174">
        <v>0.59499999999999997</v>
      </c>
      <c r="AB51" s="325">
        <v>0.59799999999999998</v>
      </c>
      <c r="AC51" s="26"/>
      <c r="AD51" s="26"/>
      <c r="AE51" s="28"/>
      <c r="AF51" s="33"/>
      <c r="AG51" s="33"/>
      <c r="AH51" s="53" t="s">
        <v>674</v>
      </c>
      <c r="AI51" s="54">
        <f>AI50*24*0.004184</f>
        <v>20814.544540778206</v>
      </c>
      <c r="AJ51" s="55" t="s">
        <v>110</v>
      </c>
      <c r="AK51" s="26"/>
      <c r="AL51" s="26"/>
      <c r="AM51" s="213" t="s">
        <v>561</v>
      </c>
      <c r="AN51" s="214">
        <f>AI72*(AN48/100)/AN45</f>
        <v>65442.83237244239</v>
      </c>
      <c r="AO51" s="213" t="s">
        <v>551</v>
      </c>
      <c r="AP51" s="26"/>
      <c r="AQ51" s="26"/>
      <c r="AR51" s="28"/>
      <c r="AS51" s="8" t="s">
        <v>597</v>
      </c>
      <c r="AT51" s="40"/>
      <c r="AU51" s="199">
        <f>(T41*T9/100*24/1000)+(U41*T11/100*24/1000)</f>
        <v>8.367872832704E-2</v>
      </c>
      <c r="AV51" s="200" t="s">
        <v>41</v>
      </c>
      <c r="AW51" s="26"/>
      <c r="AX51" s="34"/>
      <c r="AY51" s="26"/>
      <c r="AZ51" s="26"/>
      <c r="BA51" s="26"/>
      <c r="BJ51" s="33"/>
      <c r="BK51" s="33"/>
      <c r="BL51" s="33"/>
      <c r="BM51" s="33"/>
      <c r="BN51" s="33"/>
      <c r="BO51" s="33"/>
      <c r="BP51" s="33"/>
    </row>
    <row r="52" spans="2:68">
      <c r="B52" s="17"/>
      <c r="R52" s="215" t="s">
        <v>704</v>
      </c>
      <c r="S52" s="180"/>
      <c r="T52" s="179">
        <f>T41*AP10</f>
        <v>3549365.9169173334</v>
      </c>
      <c r="U52" s="179">
        <f>U41*AQ10</f>
        <v>3906.7815490416638</v>
      </c>
      <c r="V52" s="180" t="s">
        <v>443</v>
      </c>
      <c r="W52" s="32"/>
      <c r="X52" s="313" t="s">
        <v>469</v>
      </c>
      <c r="Y52" s="326">
        <v>0.34100000000000003</v>
      </c>
      <c r="Z52" s="326">
        <v>0.34899999999999998</v>
      </c>
      <c r="AA52" s="326">
        <v>0.35699999999999998</v>
      </c>
      <c r="AB52" s="327">
        <v>0.36299999999999999</v>
      </c>
      <c r="AC52" s="26"/>
      <c r="AD52" s="26"/>
      <c r="AE52" s="28"/>
      <c r="AF52" s="33"/>
      <c r="AG52" s="33"/>
      <c r="AK52" s="26"/>
      <c r="AL52" s="26"/>
      <c r="AM52" s="213"/>
      <c r="AN52" s="214">
        <f>AN51/1000</f>
        <v>65.442832372442396</v>
      </c>
      <c r="AO52" s="213" t="s">
        <v>552</v>
      </c>
      <c r="AP52" s="26"/>
      <c r="AQ52" s="26"/>
      <c r="AR52" s="28"/>
      <c r="AS52" s="336" t="s">
        <v>726</v>
      </c>
      <c r="AT52" s="40"/>
      <c r="AU52" s="201">
        <f>SUM(T41:U41)*24*0.05/1000</f>
        <v>1.1546371365760002</v>
      </c>
      <c r="AV52" s="200" t="s">
        <v>41</v>
      </c>
      <c r="AW52" s="26"/>
      <c r="AX52" s="34"/>
      <c r="AY52" s="26"/>
      <c r="AZ52" s="26"/>
      <c r="BA52" s="26"/>
      <c r="BJ52" s="33"/>
      <c r="BK52" s="33"/>
      <c r="BL52" s="33"/>
      <c r="BM52" s="33"/>
      <c r="BN52" s="33"/>
      <c r="BO52" s="33"/>
      <c r="BP52" s="33"/>
    </row>
    <row r="53" spans="2:68">
      <c r="B53" s="17"/>
      <c r="R53" s="215" t="s">
        <v>707</v>
      </c>
      <c r="S53" s="180"/>
      <c r="T53" s="179">
        <f>T54*T41*T55*T56</f>
        <v>162572.7678888209</v>
      </c>
      <c r="U53" s="184">
        <f>U54*U41*U55*U56</f>
        <v>193.19358200079398</v>
      </c>
      <c r="V53" s="180" t="s">
        <v>443</v>
      </c>
      <c r="W53" s="32"/>
      <c r="Y53" s="26"/>
      <c r="Z53" s="33"/>
      <c r="AA53" s="32"/>
      <c r="AB53" s="33"/>
      <c r="AC53" s="33"/>
      <c r="AD53" s="33"/>
      <c r="AE53" s="32"/>
      <c r="AF53" s="33"/>
      <c r="AG53" s="33"/>
      <c r="AH53" s="26"/>
      <c r="AI53" s="26"/>
      <c r="AJ53" s="28"/>
      <c r="AK53" s="26"/>
      <c r="AL53" s="26"/>
      <c r="AM53" s="213"/>
      <c r="AN53" s="214">
        <f>AN52/24</f>
        <v>2.7267846821850998</v>
      </c>
      <c r="AO53" s="213" t="s">
        <v>553</v>
      </c>
      <c r="AP53" s="26"/>
      <c r="AQ53" s="26"/>
      <c r="AR53" s="28"/>
      <c r="AS53" s="26"/>
      <c r="AT53" s="26"/>
      <c r="AU53" s="26"/>
      <c r="AV53" s="26"/>
      <c r="AW53" s="26"/>
      <c r="AX53" s="34"/>
      <c r="AY53" s="26"/>
      <c r="AZ53" s="26"/>
      <c r="BA53" s="26"/>
      <c r="BJ53" s="33"/>
      <c r="BK53" s="33"/>
      <c r="BL53" s="33"/>
      <c r="BM53" s="33"/>
      <c r="BN53" s="33"/>
      <c r="BO53" s="33"/>
      <c r="BP53" s="33"/>
    </row>
    <row r="54" spans="2:68" ht="16.5">
      <c r="B54" s="17"/>
      <c r="R54" s="392"/>
      <c r="S54" s="181" t="s">
        <v>708</v>
      </c>
      <c r="T54" s="196">
        <f>AG11</f>
        <v>8.0310240000000004</v>
      </c>
      <c r="U54" s="196">
        <f>AH11</f>
        <v>9.2933016000000013</v>
      </c>
      <c r="V54" s="181" t="s">
        <v>494</v>
      </c>
      <c r="W54" s="32"/>
      <c r="X54" s="33" t="s">
        <v>693</v>
      </c>
      <c r="Y54" s="26"/>
      <c r="Z54" s="3"/>
      <c r="AA54" s="32"/>
      <c r="AB54" s="49"/>
      <c r="AC54" s="26" t="s">
        <v>516</v>
      </c>
      <c r="AD54" s="2"/>
      <c r="AE54" s="33"/>
      <c r="AF54" s="3"/>
      <c r="AG54" s="33"/>
      <c r="AH54" s="43" t="s">
        <v>95</v>
      </c>
      <c r="AI54" s="400">
        <v>60</v>
      </c>
      <c r="AJ54" s="43" t="s">
        <v>12</v>
      </c>
      <c r="AK54" s="26"/>
      <c r="AL54" s="26"/>
      <c r="AM54" s="26"/>
      <c r="AN54" s="28"/>
      <c r="AO54" s="26"/>
      <c r="AP54" s="26"/>
      <c r="AQ54" s="26"/>
      <c r="AR54" s="28"/>
      <c r="AS54" s="26"/>
      <c r="AT54" s="26"/>
      <c r="AU54" s="26"/>
      <c r="AV54" s="26"/>
      <c r="AW54" s="26"/>
      <c r="AX54" s="34"/>
      <c r="AY54" s="26"/>
      <c r="AZ54" s="26"/>
      <c r="BA54" s="26"/>
      <c r="BJ54" s="33"/>
      <c r="BK54" s="33"/>
      <c r="BL54" s="33"/>
      <c r="BM54" s="33"/>
      <c r="BN54" s="33"/>
      <c r="BO54" s="33"/>
      <c r="BP54" s="33"/>
    </row>
    <row r="55" spans="2:68" ht="16.5">
      <c r="B55" s="17"/>
      <c r="R55" s="393"/>
      <c r="S55" s="181" t="s">
        <v>709</v>
      </c>
      <c r="T55" s="185">
        <v>0.23400000000000001</v>
      </c>
      <c r="U55" s="181">
        <v>0.23400000000000001</v>
      </c>
      <c r="V55" s="181" t="s">
        <v>451</v>
      </c>
      <c r="W55" s="32"/>
      <c r="X55" s="321" t="s">
        <v>677</v>
      </c>
      <c r="Y55" s="322">
        <v>800</v>
      </c>
      <c r="Z55" s="323">
        <v>900</v>
      </c>
      <c r="AA55" s="323">
        <v>1100</v>
      </c>
      <c r="AB55" s="323">
        <v>1200</v>
      </c>
      <c r="AC55" s="323" t="s">
        <v>515</v>
      </c>
      <c r="AD55" s="328" t="s">
        <v>511</v>
      </c>
      <c r="AE55" s="324" t="s">
        <v>512</v>
      </c>
      <c r="AF55" s="33"/>
      <c r="AG55" s="33"/>
      <c r="AH55" s="36" t="s">
        <v>729</v>
      </c>
      <c r="AI55" s="28">
        <v>24516.6</v>
      </c>
      <c r="AJ55" s="36" t="s">
        <v>96</v>
      </c>
      <c r="AK55" s="33"/>
      <c r="AL55" s="33"/>
      <c r="AM55" s="33"/>
      <c r="AN55" s="32"/>
      <c r="AO55" s="33"/>
      <c r="AP55" s="33"/>
      <c r="AQ55" s="33"/>
      <c r="AR55" s="33"/>
      <c r="AS55" s="33"/>
      <c r="AT55" s="33"/>
      <c r="AU55" s="33"/>
      <c r="AV55" s="33"/>
      <c r="AW55" s="26"/>
      <c r="AX55" s="34"/>
      <c r="AY55" s="26"/>
      <c r="AZ55" s="26"/>
      <c r="BA55" s="26"/>
      <c r="BJ55" s="33"/>
      <c r="BK55" s="33"/>
      <c r="BL55" s="33"/>
      <c r="BM55" s="33"/>
      <c r="BN55" s="33"/>
      <c r="BO55" s="33"/>
      <c r="BP55" s="33"/>
    </row>
    <row r="56" spans="2:68" ht="18">
      <c r="B56" s="17"/>
      <c r="R56" s="394"/>
      <c r="S56" s="181" t="s">
        <v>710</v>
      </c>
      <c r="T56" s="186">
        <v>90</v>
      </c>
      <c r="U56" s="181">
        <v>90</v>
      </c>
      <c r="V56" s="181" t="s">
        <v>711</v>
      </c>
      <c r="W56" s="32"/>
      <c r="X56" s="311" t="s">
        <v>667</v>
      </c>
      <c r="Y56" s="174">
        <f t="shared" ref="Y56:AB61" si="4">Y47*$AP22</f>
        <v>6.2437081358060822E-2</v>
      </c>
      <c r="Z56" s="170">
        <f t="shared" si="4"/>
        <v>6.3603138904646001E-2</v>
      </c>
      <c r="AA56" s="174">
        <f t="shared" si="4"/>
        <v>6.52992226087699E-2</v>
      </c>
      <c r="AB56" s="174">
        <f t="shared" si="4"/>
        <v>6.6041259229324106E-2</v>
      </c>
      <c r="AC56" s="197">
        <f>(Z56-Y56)/100</f>
        <v>1.166057546585178E-5</v>
      </c>
      <c r="AD56" s="197">
        <f>(AA56-Z56)/200</f>
        <v>8.4804185206194958E-6</v>
      </c>
      <c r="AE56" s="329">
        <f t="shared" ref="AE56:AE60" si="5">(AB56-AA56)/200</f>
        <v>3.7101831027710337E-6</v>
      </c>
      <c r="AF56" s="33"/>
      <c r="AG56" s="33"/>
      <c r="AH56" s="36"/>
      <c r="AI56" s="28">
        <f>AI45/(AI54/100)*AI55/3600/1000</f>
        <v>87.722643659112123</v>
      </c>
      <c r="AJ56" s="36" t="s">
        <v>97</v>
      </c>
      <c r="AK56" s="33"/>
      <c r="AL56" s="120"/>
      <c r="AM56" s="65" t="s">
        <v>467</v>
      </c>
      <c r="AN56" s="49"/>
      <c r="AO56" s="33"/>
      <c r="AP56" s="33"/>
      <c r="AQ56" s="33"/>
      <c r="AR56" s="33"/>
      <c r="AS56" s="33"/>
      <c r="AT56" s="33"/>
      <c r="AU56" s="33"/>
      <c r="AV56" s="33"/>
      <c r="AW56" s="26"/>
      <c r="AX56" s="34"/>
      <c r="AY56" s="26"/>
      <c r="AZ56" s="26"/>
      <c r="BA56" s="26"/>
      <c r="BJ56" s="33"/>
      <c r="BK56" s="33"/>
      <c r="BL56" s="33"/>
      <c r="BM56" s="33"/>
      <c r="BN56" s="33"/>
      <c r="BO56" s="33"/>
      <c r="BP56" s="33"/>
    </row>
    <row r="57" spans="2:68" ht="18.75" thickBot="1">
      <c r="B57" s="17"/>
      <c r="R57" s="216"/>
      <c r="S57" s="187"/>
      <c r="T57" s="187"/>
      <c r="U57" s="187"/>
      <c r="V57" s="187"/>
      <c r="W57" s="32"/>
      <c r="X57" s="311" t="s">
        <v>668</v>
      </c>
      <c r="Y57" s="174">
        <f t="shared" si="4"/>
        <v>3.1931608342183997E-2</v>
      </c>
      <c r="Z57" s="170">
        <f t="shared" si="4"/>
        <v>3.235736312007978E-2</v>
      </c>
      <c r="AA57" s="174">
        <f t="shared" si="4"/>
        <v>3.2953419809133883E-2</v>
      </c>
      <c r="AB57" s="174">
        <f t="shared" si="4"/>
        <v>3.3123721720292196E-2</v>
      </c>
      <c r="AC57" s="197">
        <f t="shared" ref="AC57:AC61" si="6">(Z57-Y57)/100</f>
        <v>4.2575477789578289E-6</v>
      </c>
      <c r="AD57" s="197">
        <f t="shared" ref="AD57:AD61" si="7">(AA57-Z57)/200</f>
        <v>2.9802834452705153E-6</v>
      </c>
      <c r="AE57" s="329">
        <f t="shared" si="5"/>
        <v>8.515095557915658E-7</v>
      </c>
      <c r="AF57" s="33"/>
      <c r="AG57" s="32"/>
      <c r="AH57" s="49"/>
      <c r="AI57" s="32">
        <f>AI56*860</f>
        <v>75441.473546836423</v>
      </c>
      <c r="AJ57" s="49" t="s">
        <v>98</v>
      </c>
      <c r="AK57" s="33"/>
      <c r="AL57" s="33"/>
      <c r="AM57" s="32"/>
      <c r="AN57" s="49"/>
      <c r="AO57" s="33"/>
      <c r="AP57" s="33"/>
      <c r="AQ57" s="33"/>
      <c r="AR57" s="33"/>
      <c r="AS57" s="33"/>
      <c r="AT57" s="33"/>
      <c r="AU57" s="33"/>
      <c r="AV57" s="33"/>
      <c r="AW57" s="26"/>
      <c r="AX57" s="34"/>
      <c r="AY57" s="26"/>
      <c r="AZ57" s="26"/>
      <c r="BA57" s="26"/>
      <c r="BJ57" s="33"/>
      <c r="BK57" s="33"/>
      <c r="BL57" s="33"/>
      <c r="BM57" s="33"/>
      <c r="BN57" s="33"/>
      <c r="BO57" s="33"/>
      <c r="BP57" s="33"/>
    </row>
    <row r="58" spans="2:68" ht="18.75" thickBot="1">
      <c r="B58" s="17"/>
      <c r="R58" s="385" t="s">
        <v>699</v>
      </c>
      <c r="S58" s="386"/>
      <c r="T58" s="175" t="s">
        <v>298</v>
      </c>
      <c r="U58" s="175" t="s">
        <v>495</v>
      </c>
      <c r="V58" s="175" t="s">
        <v>698</v>
      </c>
      <c r="W58" s="32"/>
      <c r="X58" s="311" t="s">
        <v>669</v>
      </c>
      <c r="Y58" s="174">
        <f t="shared" si="4"/>
        <v>0.25510610815929119</v>
      </c>
      <c r="Z58" s="170">
        <f t="shared" si="4"/>
        <v>0.25798866305374646</v>
      </c>
      <c r="AA58" s="174">
        <f t="shared" si="4"/>
        <v>0.26447441156627083</v>
      </c>
      <c r="AB58" s="174">
        <f t="shared" si="4"/>
        <v>0.2673569664607261</v>
      </c>
      <c r="AC58" s="197">
        <f t="shared" si="6"/>
        <v>2.8825548944552692E-5</v>
      </c>
      <c r="AD58" s="197">
        <f t="shared" si="7"/>
        <v>3.2428742562621847E-5</v>
      </c>
      <c r="AE58" s="329">
        <f t="shared" si="5"/>
        <v>1.4412774472276346E-5</v>
      </c>
      <c r="AF58" s="33"/>
      <c r="AG58" s="32"/>
      <c r="AH58" s="50" t="s">
        <v>150</v>
      </c>
      <c r="AI58" s="51">
        <f>AI57*0.004184*24</f>
        <v>7575.5310076791266</v>
      </c>
      <c r="AJ58" s="58" t="s">
        <v>109</v>
      </c>
      <c r="AK58" s="33"/>
      <c r="AL58" s="33"/>
      <c r="AM58" s="44" t="s">
        <v>554</v>
      </c>
      <c r="AN58" s="45">
        <f>F22</f>
        <v>30</v>
      </c>
      <c r="AO58" s="45" t="s">
        <v>12</v>
      </c>
      <c r="AP58" s="33"/>
      <c r="AQ58" s="33"/>
      <c r="AR58" s="33"/>
      <c r="AS58" s="33"/>
      <c r="AT58" s="33"/>
      <c r="AU58" s="33"/>
      <c r="AV58" s="33"/>
      <c r="AW58" s="26"/>
      <c r="AX58" s="34"/>
      <c r="AY58" s="26"/>
      <c r="AZ58" s="26"/>
      <c r="BA58" s="26"/>
      <c r="BJ58" s="33"/>
      <c r="BK58" s="33"/>
      <c r="BL58" s="33"/>
      <c r="BM58" s="33"/>
      <c r="BN58" s="33"/>
      <c r="BO58" s="33"/>
      <c r="BP58" s="33"/>
    </row>
    <row r="59" spans="2:68" ht="19.5" thickTop="1" thickBot="1">
      <c r="B59" s="17"/>
      <c r="R59" s="387" t="s">
        <v>497</v>
      </c>
      <c r="S59" s="388"/>
      <c r="T59" s="188">
        <f>SUM(T61:T62,T64:T65)</f>
        <v>493466.12312886748</v>
      </c>
      <c r="U59" s="188">
        <f>SUM(U61:U62,U64:U65)</f>
        <v>552.24006316129567</v>
      </c>
      <c r="V59" s="189"/>
      <c r="W59" s="32"/>
      <c r="X59" s="311" t="s">
        <v>670</v>
      </c>
      <c r="Y59" s="174">
        <f t="shared" si="4"/>
        <v>3.9691989401292663E-2</v>
      </c>
      <c r="Z59" s="170">
        <f t="shared" si="4"/>
        <v>4.0926851293777329E-2</v>
      </c>
      <c r="AA59" s="174">
        <f t="shared" si="4"/>
        <v>4.313196181607136E-2</v>
      </c>
      <c r="AB59" s="174">
        <f t="shared" si="4"/>
        <v>4.4102210445880738E-2</v>
      </c>
      <c r="AC59" s="197">
        <f t="shared" si="6"/>
        <v>1.2348618924846664E-5</v>
      </c>
      <c r="AD59" s="197">
        <f t="shared" si="7"/>
        <v>1.1025552611470153E-5</v>
      </c>
      <c r="AE59" s="329">
        <f t="shared" si="5"/>
        <v>4.8512431490468909E-6</v>
      </c>
      <c r="AF59" s="33"/>
      <c r="AG59" s="33"/>
      <c r="AK59" s="33"/>
      <c r="AL59" s="120"/>
      <c r="AM59" s="50"/>
      <c r="AN59" s="51">
        <f>AN50*AN58/100</f>
        <v>52105.583134938628</v>
      </c>
      <c r="AO59" s="58" t="s">
        <v>110</v>
      </c>
      <c r="AP59" s="33"/>
      <c r="AQ59" s="33"/>
      <c r="AR59" s="33"/>
      <c r="AS59" s="33"/>
      <c r="AT59" s="33"/>
      <c r="AU59" s="33"/>
      <c r="AV59" s="33"/>
      <c r="AW59" s="26"/>
      <c r="AX59" s="34"/>
      <c r="AY59" s="26"/>
      <c r="AZ59" s="26"/>
      <c r="BA59" s="26"/>
      <c r="BJ59" s="33"/>
      <c r="BK59" s="33"/>
      <c r="BL59" s="33"/>
      <c r="BM59" s="33"/>
      <c r="BN59" s="33"/>
      <c r="BO59" s="33"/>
      <c r="BP59" s="33"/>
    </row>
    <row r="60" spans="2:68" ht="18">
      <c r="B60" s="17"/>
      <c r="R60" s="217" t="s">
        <v>452</v>
      </c>
      <c r="S60" s="190"/>
      <c r="T60" s="191"/>
      <c r="U60" s="191"/>
      <c r="V60" s="181" t="s">
        <v>712</v>
      </c>
      <c r="W60" s="32"/>
      <c r="X60" s="311" t="s">
        <v>671</v>
      </c>
      <c r="Y60" s="174">
        <f t="shared" si="4"/>
        <v>2.9016924374567334E-9</v>
      </c>
      <c r="Z60" s="170">
        <f t="shared" si="4"/>
        <v>2.9065856793411463E-9</v>
      </c>
      <c r="AA60" s="174">
        <f t="shared" si="4"/>
        <v>2.9114789212255588E-9</v>
      </c>
      <c r="AB60" s="174">
        <f t="shared" si="4"/>
        <v>2.9261586468787971E-9</v>
      </c>
      <c r="AC60" s="197">
        <f t="shared" si="6"/>
        <v>4.8932418844129017E-14</v>
      </c>
      <c r="AD60" s="197">
        <f t="shared" si="7"/>
        <v>2.4466209422062442E-14</v>
      </c>
      <c r="AE60" s="329">
        <f t="shared" si="5"/>
        <v>7.3398628266191459E-14</v>
      </c>
      <c r="AF60" s="33"/>
      <c r="AG60" s="33"/>
      <c r="AK60" s="33"/>
      <c r="AL60" s="33"/>
      <c r="AM60" s="33"/>
      <c r="AN60" s="49"/>
      <c r="AO60" s="33"/>
      <c r="AP60" s="33"/>
      <c r="AQ60" s="33"/>
      <c r="AR60" s="33"/>
      <c r="AS60" s="33"/>
      <c r="AT60" s="33"/>
      <c r="AU60" s="33"/>
      <c r="AV60" s="33"/>
      <c r="AW60" s="26"/>
      <c r="AX60" s="34"/>
      <c r="AY60" s="26"/>
      <c r="AZ60" s="26"/>
      <c r="BA60" s="26"/>
      <c r="BJ60" s="33"/>
      <c r="BK60" s="33"/>
      <c r="BL60" s="33"/>
      <c r="BM60" s="33"/>
      <c r="BN60" s="33"/>
      <c r="BO60" s="33"/>
      <c r="BP60" s="33"/>
    </row>
    <row r="61" spans="2:68" ht="15.75" thickBot="1">
      <c r="B61" s="17" t="s">
        <v>187</v>
      </c>
      <c r="R61" s="383" t="s">
        <v>453</v>
      </c>
      <c r="S61" s="384"/>
      <c r="T61" s="192">
        <f>T52*0.05</f>
        <v>177468.29584586667</v>
      </c>
      <c r="U61" s="192">
        <f>U52*0.05</f>
        <v>195.33907745208319</v>
      </c>
      <c r="V61" s="180" t="s">
        <v>454</v>
      </c>
      <c r="W61" s="32"/>
      <c r="X61" s="311" t="s">
        <v>469</v>
      </c>
      <c r="Y61" s="174">
        <f t="shared" si="4"/>
        <v>2.2625836916138008E-7</v>
      </c>
      <c r="Z61" s="170">
        <f t="shared" si="4"/>
        <v>2.3156648339390508E-7</v>
      </c>
      <c r="AA61" s="174">
        <f t="shared" si="4"/>
        <v>2.3687459762643013E-7</v>
      </c>
      <c r="AB61" s="174">
        <f t="shared" si="4"/>
        <v>2.4085568330082392E-7</v>
      </c>
      <c r="AC61" s="197">
        <f t="shared" si="6"/>
        <v>5.3081142325249969E-11</v>
      </c>
      <c r="AD61" s="197">
        <f t="shared" si="7"/>
        <v>2.6540571162625249E-11</v>
      </c>
      <c r="AE61" s="329">
        <f>(AB61-AA61)/200</f>
        <v>1.9905428371968969E-11</v>
      </c>
      <c r="AF61" s="33"/>
      <c r="AG61" s="33"/>
      <c r="AK61" s="33"/>
      <c r="AL61" s="33"/>
      <c r="AM61" s="33"/>
      <c r="AN61" s="49"/>
      <c r="AO61" s="33"/>
      <c r="AP61" s="33"/>
      <c r="AQ61" s="33"/>
      <c r="AR61" s="33"/>
      <c r="AS61" s="33"/>
      <c r="AT61" s="33"/>
      <c r="AU61" s="33"/>
      <c r="AV61" s="33"/>
      <c r="AW61" s="26"/>
      <c r="AX61" s="34"/>
      <c r="AY61" s="26"/>
      <c r="AZ61" s="26"/>
      <c r="BA61" s="26"/>
      <c r="BJ61" s="33"/>
      <c r="BK61" s="33"/>
      <c r="BL61" s="33"/>
      <c r="BM61" s="33"/>
      <c r="BN61" s="33"/>
      <c r="BO61" s="33"/>
      <c r="BP61" s="33"/>
    </row>
    <row r="62" spans="2:68">
      <c r="B62" s="68"/>
      <c r="C62" s="19"/>
      <c r="D62" s="19"/>
      <c r="E62" s="19"/>
      <c r="F62" s="19"/>
      <c r="G62" s="21"/>
      <c r="H62" s="19"/>
      <c r="I62" s="19"/>
      <c r="J62" s="19"/>
      <c r="K62" s="21"/>
      <c r="L62" s="19"/>
      <c r="M62" s="19"/>
      <c r="N62" s="19"/>
      <c r="O62" s="21"/>
      <c r="P62" s="22"/>
      <c r="R62" s="383" t="s">
        <v>455</v>
      </c>
      <c r="S62" s="384"/>
      <c r="T62" s="193">
        <f>T41*T47*T42*T63</f>
        <v>67542.213098787484</v>
      </c>
      <c r="U62" s="193">
        <f>U41*U47*U42*U63</f>
        <v>83.426277276296005</v>
      </c>
      <c r="V62" s="180" t="s">
        <v>443</v>
      </c>
      <c r="W62" s="32"/>
      <c r="X62" s="330" t="s">
        <v>509</v>
      </c>
      <c r="Y62" s="174">
        <f>SUM(Y56:Y61)</f>
        <v>0.38916701642089024</v>
      </c>
      <c r="Z62" s="170">
        <f t="shared" ref="Z62:AB62" si="8">SUM(Z56:Z61)</f>
        <v>0.39487625084531863</v>
      </c>
      <c r="AA62" s="174">
        <f t="shared" si="8"/>
        <v>0.40585925558632252</v>
      </c>
      <c r="AB62" s="174">
        <f t="shared" si="8"/>
        <v>0.41062440163806507</v>
      </c>
      <c r="AC62" s="33"/>
      <c r="AD62" s="33"/>
      <c r="AE62" s="331"/>
      <c r="AF62" s="33"/>
      <c r="AG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26"/>
      <c r="AX62" s="34"/>
      <c r="AY62" s="26"/>
      <c r="AZ62" s="26"/>
      <c r="BA62" s="26"/>
      <c r="BJ62" s="33"/>
      <c r="BK62" s="33"/>
      <c r="BL62" s="33"/>
      <c r="BM62" s="33"/>
      <c r="BN62" s="33"/>
      <c r="BO62" s="33"/>
      <c r="BP62" s="33"/>
    </row>
    <row r="63" spans="2:68">
      <c r="B63" s="34"/>
      <c r="C63" s="26"/>
      <c r="D63" s="26"/>
      <c r="E63" s="26"/>
      <c r="F63" s="69" t="s">
        <v>1</v>
      </c>
      <c r="G63" s="70">
        <f>C7*(1-G11/100)</f>
        <v>1754.6320000000028</v>
      </c>
      <c r="H63" s="71" t="s">
        <v>4</v>
      </c>
      <c r="I63" s="26"/>
      <c r="J63" s="69"/>
      <c r="K63" s="70"/>
      <c r="L63" s="71"/>
      <c r="M63" s="26"/>
      <c r="N63" s="26"/>
      <c r="O63" s="28"/>
      <c r="P63" s="29"/>
      <c r="R63" s="212"/>
      <c r="S63" s="181" t="s">
        <v>456</v>
      </c>
      <c r="T63" s="181">
        <v>375</v>
      </c>
      <c r="U63" s="181">
        <v>375</v>
      </c>
      <c r="V63" s="181"/>
      <c r="W63" s="32"/>
      <c r="X63" s="332" t="s">
        <v>510</v>
      </c>
      <c r="Y63" s="333">
        <f>Y62*Y55</f>
        <v>311.33361313671219</v>
      </c>
      <c r="Z63" s="333">
        <f t="shared" ref="Z63:AB63" si="9">Z62*Z55</f>
        <v>355.38862576078679</v>
      </c>
      <c r="AA63" s="333">
        <f t="shared" si="9"/>
        <v>446.44518114495474</v>
      </c>
      <c r="AB63" s="333">
        <f t="shared" si="9"/>
        <v>492.74928196567811</v>
      </c>
      <c r="AC63" s="318"/>
      <c r="AD63" s="318"/>
      <c r="AE63" s="334"/>
      <c r="AF63" s="120"/>
      <c r="AG63" s="33"/>
      <c r="AH63" s="33"/>
      <c r="AI63" s="32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26"/>
      <c r="AX63" s="34"/>
      <c r="AY63" s="26"/>
      <c r="AZ63" s="26"/>
      <c r="BA63" s="26"/>
      <c r="BJ63" s="33"/>
      <c r="BK63" s="33"/>
      <c r="BL63" s="33"/>
      <c r="BM63" s="33"/>
      <c r="BN63" s="33"/>
      <c r="BO63" s="33"/>
      <c r="BP63" s="33"/>
    </row>
    <row r="64" spans="2:68" ht="16.5">
      <c r="B64" s="34"/>
      <c r="C64" s="26"/>
      <c r="D64" s="26"/>
      <c r="E64" s="26"/>
      <c r="F64" s="74"/>
      <c r="G64" s="28">
        <f>G63/24</f>
        <v>73.109666666666783</v>
      </c>
      <c r="H64" s="75" t="s">
        <v>6</v>
      </c>
      <c r="I64" s="26"/>
      <c r="J64" s="74"/>
      <c r="K64" s="28"/>
      <c r="L64" s="75"/>
      <c r="M64" s="26"/>
      <c r="N64" s="26"/>
      <c r="O64" s="28"/>
      <c r="P64" s="29"/>
      <c r="R64" s="383" t="s">
        <v>457</v>
      </c>
      <c r="S64" s="384"/>
      <c r="T64" s="192">
        <f>T52*0.05</f>
        <v>177468.29584586667</v>
      </c>
      <c r="U64" s="192">
        <f>U52*0.05</f>
        <v>195.33907745208319</v>
      </c>
      <c r="V64" s="181" t="s">
        <v>458</v>
      </c>
      <c r="W64" s="32"/>
      <c r="X64" s="122"/>
      <c r="Y64" s="33"/>
      <c r="Z64" s="49"/>
      <c r="AA64" s="32"/>
      <c r="AB64" s="120"/>
      <c r="AC64" s="33"/>
      <c r="AD64" s="33"/>
      <c r="AE64" s="33"/>
      <c r="AF64" s="120"/>
      <c r="AG64" s="33"/>
      <c r="AH64" s="33"/>
      <c r="AI64" s="32"/>
      <c r="AJ64" s="156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26"/>
      <c r="AX64" s="34"/>
      <c r="AY64" s="26"/>
      <c r="AZ64" s="26"/>
      <c r="BA64" s="26"/>
      <c r="BJ64" s="33"/>
      <c r="BK64" s="33"/>
      <c r="BL64" s="33"/>
      <c r="BM64" s="33"/>
      <c r="BN64" s="33"/>
      <c r="BO64" s="33"/>
      <c r="BP64" s="33"/>
    </row>
    <row r="65" spans="2:68">
      <c r="B65" s="34"/>
      <c r="C65" s="26"/>
      <c r="D65" s="26"/>
      <c r="E65" s="26"/>
      <c r="F65" s="74" t="s">
        <v>2</v>
      </c>
      <c r="G65" s="28">
        <f>C10*(G11/100)</f>
        <v>62075.925999999992</v>
      </c>
      <c r="H65" s="75" t="s">
        <v>4</v>
      </c>
      <c r="I65" s="26"/>
      <c r="J65" s="74" t="s">
        <v>2</v>
      </c>
      <c r="K65" s="28">
        <f>K10*(K16/100)</f>
        <v>5266.9217040000085</v>
      </c>
      <c r="L65" s="75" t="s">
        <v>4</v>
      </c>
      <c r="M65" s="26"/>
      <c r="N65" s="26"/>
      <c r="O65" s="28"/>
      <c r="P65" s="29"/>
      <c r="R65" s="383" t="s">
        <v>459</v>
      </c>
      <c r="S65" s="384"/>
      <c r="T65" s="192">
        <f>T52*0.02</f>
        <v>70987.318338346668</v>
      </c>
      <c r="U65" s="192">
        <f>U52*0.02</f>
        <v>78.135630980833284</v>
      </c>
      <c r="V65" s="181" t="s">
        <v>460</v>
      </c>
      <c r="W65" s="32"/>
      <c r="X65" s="49"/>
      <c r="Y65" s="33"/>
      <c r="Z65" s="49"/>
      <c r="AA65" s="32"/>
      <c r="AB65" s="122"/>
      <c r="AC65" s="33"/>
      <c r="AD65" s="33"/>
      <c r="AE65" s="33"/>
      <c r="AF65" s="49"/>
      <c r="AG65" s="33"/>
      <c r="AH65" s="88" t="s">
        <v>591</v>
      </c>
      <c r="AI65" s="26"/>
      <c r="AJ65" s="28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26"/>
      <c r="AX65" s="34"/>
      <c r="AY65" s="26"/>
      <c r="AZ65" s="26"/>
      <c r="BA65" s="26"/>
      <c r="BJ65" s="33"/>
      <c r="BK65" s="33"/>
      <c r="BL65" s="33"/>
      <c r="BM65" s="33"/>
      <c r="BN65" s="33"/>
      <c r="BO65" s="33"/>
      <c r="BP65" s="33"/>
    </row>
    <row r="66" spans="2:68">
      <c r="B66" s="34"/>
      <c r="C66" s="26"/>
      <c r="D66" s="26"/>
      <c r="E66" s="26"/>
      <c r="F66" s="74"/>
      <c r="G66" s="28">
        <f>G65/24</f>
        <v>2586.4969166666665</v>
      </c>
      <c r="H66" s="75" t="s">
        <v>5</v>
      </c>
      <c r="I66" s="26"/>
      <c r="J66" s="74"/>
      <c r="K66" s="28">
        <f>K65/24</f>
        <v>219.45507100000034</v>
      </c>
      <c r="L66" s="75" t="s">
        <v>5</v>
      </c>
      <c r="M66" s="26"/>
      <c r="N66" s="26"/>
      <c r="O66" s="28"/>
      <c r="P66" s="29"/>
      <c r="R66" s="31"/>
      <c r="S66" s="32"/>
      <c r="T66" s="49"/>
      <c r="U66" s="33"/>
      <c r="V66" s="33"/>
      <c r="W66" s="32"/>
      <c r="X66" s="122" t="s">
        <v>514</v>
      </c>
      <c r="Y66" s="33"/>
      <c r="Z66" s="49"/>
      <c r="AA66" s="32"/>
      <c r="AB66" s="49"/>
      <c r="AC66" s="32"/>
      <c r="AD66" s="3"/>
      <c r="AE66" s="33"/>
      <c r="AF66" s="49"/>
      <c r="AG66" s="33"/>
      <c r="AH66" s="26" t="s">
        <v>536</v>
      </c>
      <c r="AI66" s="26"/>
      <c r="AJ66" s="28"/>
      <c r="AK66" s="33"/>
      <c r="AL66" s="33"/>
      <c r="AM66" s="33"/>
      <c r="AN66" s="33"/>
      <c r="AO66" s="33"/>
      <c r="AP66" s="33"/>
      <c r="AQ66" s="33"/>
      <c r="AR66" s="32"/>
      <c r="AS66" s="33"/>
      <c r="AT66" s="33"/>
      <c r="AU66" s="33"/>
      <c r="AV66" s="33"/>
      <c r="AW66" s="26"/>
      <c r="AX66" s="34"/>
      <c r="AY66" s="26"/>
      <c r="AZ66" s="26"/>
      <c r="BA66" s="26"/>
      <c r="BJ66" s="33"/>
      <c r="BK66" s="33"/>
      <c r="BL66" s="33"/>
      <c r="BM66" s="33"/>
      <c r="BN66" s="33"/>
      <c r="BO66" s="33"/>
      <c r="BP66" s="33"/>
    </row>
    <row r="67" spans="2:68" ht="17.25" thickBot="1">
      <c r="B67" s="34"/>
      <c r="C67" s="26"/>
      <c r="D67" s="26"/>
      <c r="E67" s="26"/>
      <c r="F67" s="76" t="s">
        <v>25</v>
      </c>
      <c r="G67" s="77">
        <f>G10</f>
        <v>20209.2</v>
      </c>
      <c r="H67" s="78" t="s">
        <v>20</v>
      </c>
      <c r="I67" s="26"/>
      <c r="J67" s="76" t="s">
        <v>30</v>
      </c>
      <c r="K67" s="77">
        <f>K13</f>
        <v>20597.367999999999</v>
      </c>
      <c r="L67" s="78" t="s">
        <v>20</v>
      </c>
      <c r="M67" s="26"/>
      <c r="N67" s="26"/>
      <c r="O67" s="28"/>
      <c r="P67" s="29"/>
      <c r="R67" s="31"/>
      <c r="S67" s="32"/>
      <c r="T67" s="49"/>
      <c r="U67" s="33"/>
      <c r="V67" s="33"/>
      <c r="W67" s="32"/>
      <c r="X67" s="49" t="s">
        <v>513</v>
      </c>
      <c r="Y67" s="33"/>
      <c r="Z67" s="49"/>
      <c r="AA67" s="32"/>
      <c r="AB67" s="49"/>
      <c r="AC67" s="32"/>
      <c r="AD67" s="49"/>
      <c r="AE67" s="33"/>
      <c r="AF67" s="49"/>
      <c r="AG67" s="33"/>
      <c r="AH67" s="26" t="s">
        <v>537</v>
      </c>
      <c r="AI67" s="26">
        <v>10</v>
      </c>
      <c r="AJ67" s="28" t="s">
        <v>12</v>
      </c>
      <c r="AK67" s="33"/>
      <c r="AL67" s="33"/>
      <c r="AM67" s="33"/>
      <c r="AN67" s="33"/>
      <c r="AO67" s="33"/>
      <c r="AP67" s="33"/>
      <c r="AQ67" s="33"/>
      <c r="AR67" s="32"/>
      <c r="AS67" s="120"/>
      <c r="AT67" s="33"/>
      <c r="AU67" s="33"/>
      <c r="AV67" s="33"/>
      <c r="AW67" s="26"/>
      <c r="AX67" s="34"/>
      <c r="AY67" s="26"/>
      <c r="AZ67" s="26"/>
      <c r="BA67" s="26"/>
      <c r="BJ67" s="33"/>
      <c r="BK67" s="33"/>
      <c r="BL67" s="33"/>
      <c r="BM67" s="33"/>
      <c r="BN67" s="33"/>
      <c r="BO67" s="33"/>
      <c r="BP67" s="33"/>
    </row>
    <row r="68" spans="2:68" ht="15.75" thickBot="1">
      <c r="B68" s="34"/>
      <c r="C68" s="26"/>
      <c r="D68" s="26"/>
      <c r="E68" s="26"/>
      <c r="F68" s="26" t="s">
        <v>776</v>
      </c>
      <c r="G68" s="96">
        <f>G63/(G63+G65)</f>
        <v>2.7488902729003291E-2</v>
      </c>
      <c r="H68" s="26" t="s">
        <v>787</v>
      </c>
      <c r="I68" s="26"/>
      <c r="J68" s="26"/>
      <c r="K68" s="28"/>
      <c r="L68" s="26"/>
      <c r="M68" s="26"/>
      <c r="N68" s="26"/>
      <c r="O68" s="28"/>
      <c r="P68" s="29"/>
      <c r="R68" s="31"/>
      <c r="S68" s="32"/>
      <c r="T68" s="49"/>
      <c r="U68" s="33"/>
      <c r="V68" s="33"/>
      <c r="W68" s="32"/>
      <c r="X68" s="49"/>
      <c r="Y68" s="33"/>
      <c r="Z68" s="49"/>
      <c r="AA68" s="32"/>
      <c r="AB68" s="49"/>
      <c r="AC68" s="32"/>
      <c r="AD68" s="49"/>
      <c r="AE68" s="33"/>
      <c r="AF68" s="49"/>
      <c r="AG68" s="32"/>
      <c r="AH68" s="53" t="s">
        <v>675</v>
      </c>
      <c r="AI68" s="54">
        <f>AI41*AI67/100</f>
        <v>24752.685454978215</v>
      </c>
      <c r="AJ68" s="55" t="s">
        <v>110</v>
      </c>
      <c r="AK68" s="32"/>
      <c r="AL68" s="49"/>
      <c r="AM68" s="49"/>
      <c r="AN68" s="33"/>
      <c r="AO68" s="33"/>
      <c r="AP68" s="33"/>
      <c r="AQ68" s="33"/>
      <c r="AR68" s="32"/>
      <c r="AS68" s="33"/>
      <c r="AT68" s="33"/>
      <c r="AU68" s="33"/>
      <c r="AV68" s="33"/>
      <c r="AW68" s="26"/>
      <c r="AX68" s="34"/>
      <c r="AY68" s="26"/>
      <c r="AZ68" s="26"/>
      <c r="BA68" s="26"/>
      <c r="BJ68" s="33"/>
      <c r="BK68" s="33"/>
      <c r="BL68" s="33"/>
      <c r="BM68" s="33"/>
      <c r="BN68" s="33"/>
      <c r="BO68" s="33"/>
      <c r="BP68" s="33"/>
    </row>
    <row r="69" spans="2:68" ht="16.5">
      <c r="B69" s="34"/>
      <c r="C69" s="26"/>
      <c r="D69" s="26"/>
      <c r="E69" s="26"/>
      <c r="F69" s="26" t="s">
        <v>777</v>
      </c>
      <c r="G69" s="96">
        <f>G65/(G63+G65)</f>
        <v>0.97251109727099672</v>
      </c>
      <c r="H69" s="26" t="s">
        <v>787</v>
      </c>
      <c r="I69" s="26"/>
      <c r="J69" s="26"/>
      <c r="K69" s="28"/>
      <c r="L69" s="26"/>
      <c r="M69" s="26"/>
      <c r="N69" s="26"/>
      <c r="O69" s="28"/>
      <c r="P69" s="29"/>
      <c r="R69" s="31"/>
      <c r="S69" s="32"/>
      <c r="T69" s="49"/>
      <c r="U69" s="33"/>
      <c r="V69" s="33"/>
      <c r="W69" s="32"/>
      <c r="X69" s="205" t="s">
        <v>677</v>
      </c>
      <c r="Y69" s="33">
        <v>950</v>
      </c>
      <c r="Z69" s="49">
        <v>960</v>
      </c>
      <c r="AA69" s="49">
        <v>955</v>
      </c>
      <c r="AB69" s="49">
        <v>957</v>
      </c>
      <c r="AC69" s="49">
        <v>956</v>
      </c>
      <c r="AD69" s="49"/>
      <c r="AE69" s="33"/>
      <c r="AF69" s="49"/>
      <c r="AG69" s="32"/>
      <c r="AH69" s="49"/>
      <c r="AI69" s="33"/>
      <c r="AJ69" s="33"/>
      <c r="AK69" s="32"/>
      <c r="AL69" s="49"/>
      <c r="AM69" s="49"/>
      <c r="AN69" s="33"/>
      <c r="AO69" s="33"/>
      <c r="AP69" s="33"/>
      <c r="AQ69" s="33"/>
      <c r="AR69" s="32"/>
      <c r="AS69" s="33"/>
      <c r="AT69" s="33"/>
      <c r="AU69" s="33"/>
      <c r="AV69" s="33"/>
      <c r="AW69" s="26"/>
      <c r="AX69" s="34"/>
      <c r="AY69" s="26"/>
      <c r="AZ69" s="26"/>
      <c r="BA69" s="26"/>
      <c r="BJ69" s="33"/>
      <c r="BK69" s="33"/>
      <c r="BL69" s="33"/>
      <c r="BM69" s="33"/>
      <c r="BN69" s="33"/>
      <c r="BO69" s="33"/>
      <c r="BP69" s="33"/>
    </row>
    <row r="70" spans="2:68" ht="18">
      <c r="B70" s="34"/>
      <c r="C70" s="26"/>
      <c r="D70" s="26"/>
      <c r="E70" s="26"/>
      <c r="F70" s="69"/>
      <c r="G70" s="70"/>
      <c r="H70" s="79"/>
      <c r="I70" s="79"/>
      <c r="J70" s="79" t="s">
        <v>34</v>
      </c>
      <c r="K70" s="70"/>
      <c r="L70" s="79"/>
      <c r="M70" s="74"/>
      <c r="N70" s="26"/>
      <c r="O70" s="28"/>
      <c r="P70" s="29"/>
      <c r="Q70" s="26"/>
      <c r="R70" s="31"/>
      <c r="S70" s="32"/>
      <c r="T70" s="49"/>
      <c r="U70" s="33"/>
      <c r="V70" s="33"/>
      <c r="W70" s="32"/>
      <c r="X70" s="187" t="s">
        <v>667</v>
      </c>
      <c r="Y70" s="134">
        <f t="shared" ref="Y70:Y75" si="10">Z56+(AD56*(Y$69-$Z$55))</f>
        <v>6.4027159830676972E-2</v>
      </c>
      <c r="Z70" s="134">
        <f t="shared" ref="Z70:Z75" si="11">Z56+(AD56*(Z$69-$Z$55))</f>
        <v>6.4111964015883177E-2</v>
      </c>
      <c r="AA70" s="134">
        <f t="shared" ref="AA70:AA75" si="12">Z56+(AD56*(AA$69-$Z$55))</f>
        <v>6.4069561923280074E-2</v>
      </c>
      <c r="AB70" s="134">
        <f t="shared" ref="AB70:AB75" si="13">Z56+(AD56*(AB$69-$Z$55))</f>
        <v>6.4086522760321313E-2</v>
      </c>
      <c r="AC70" s="134">
        <f t="shared" ref="AC70:AC75" si="14">Z56+(AD56*(AC$69-$Z$55))</f>
        <v>6.4078042341800687E-2</v>
      </c>
      <c r="AD70" s="134"/>
      <c r="AE70" s="33"/>
      <c r="AF70" s="49"/>
      <c r="AG70" s="65"/>
      <c r="AH70" s="33"/>
      <c r="AI70" s="33"/>
      <c r="AJ70" s="33"/>
      <c r="AK70" s="32"/>
      <c r="AL70" s="49"/>
      <c r="AM70" s="49"/>
      <c r="AN70" s="33"/>
      <c r="AO70" s="33"/>
      <c r="AP70" s="33"/>
      <c r="AQ70" s="33"/>
      <c r="AR70" s="32"/>
      <c r="AS70" s="33"/>
      <c r="AT70" s="33"/>
      <c r="AU70" s="33"/>
      <c r="AV70" s="33"/>
      <c r="AW70" s="26"/>
      <c r="AX70" s="34"/>
      <c r="AY70" s="26"/>
      <c r="AZ70" s="26"/>
      <c r="BA70" s="26"/>
      <c r="BJ70" s="33"/>
      <c r="BK70" s="33"/>
      <c r="BL70" s="33"/>
      <c r="BM70" s="33"/>
      <c r="BN70" s="33"/>
      <c r="BO70" s="33"/>
      <c r="BP70" s="33"/>
    </row>
    <row r="71" spans="2:68" ht="18.75" thickBot="1">
      <c r="B71" s="34"/>
      <c r="C71" s="26"/>
      <c r="D71" s="26"/>
      <c r="E71" s="26"/>
      <c r="F71" s="74" t="s">
        <v>33</v>
      </c>
      <c r="G71" s="28">
        <f>G63</f>
        <v>1754.6320000000028</v>
      </c>
      <c r="H71" s="26" t="s">
        <v>4</v>
      </c>
      <c r="I71" s="26"/>
      <c r="J71" s="28">
        <f>G71*C13</f>
        <v>2333.6605600000039</v>
      </c>
      <c r="K71" s="28" t="s">
        <v>38</v>
      </c>
      <c r="L71" s="26"/>
      <c r="M71" s="74"/>
      <c r="N71" s="26"/>
      <c r="O71" s="28"/>
      <c r="P71" s="29"/>
      <c r="Q71" s="26"/>
      <c r="R71" s="31"/>
      <c r="S71" s="32"/>
      <c r="T71" s="49"/>
      <c r="U71" s="33"/>
      <c r="V71" s="33"/>
      <c r="W71" s="32"/>
      <c r="X71" s="187" t="s">
        <v>668</v>
      </c>
      <c r="Y71" s="134">
        <f t="shared" si="10"/>
        <v>3.2506377292343305E-2</v>
      </c>
      <c r="Z71" s="134">
        <f t="shared" si="11"/>
        <v>3.2536180126796009E-2</v>
      </c>
      <c r="AA71" s="134">
        <f t="shared" si="12"/>
        <v>3.2521278709569661E-2</v>
      </c>
      <c r="AB71" s="134">
        <f t="shared" si="13"/>
        <v>3.2527239276460201E-2</v>
      </c>
      <c r="AC71" s="134">
        <f t="shared" si="14"/>
        <v>3.2524258993014928E-2</v>
      </c>
      <c r="AD71" s="134"/>
      <c r="AE71" s="33"/>
      <c r="AF71" s="49"/>
      <c r="AG71" s="33"/>
      <c r="AH71" s="26" t="s">
        <v>538</v>
      </c>
      <c r="AI71" s="26"/>
      <c r="AJ71" s="32"/>
      <c r="AK71" s="65"/>
      <c r="AL71" s="122"/>
      <c r="AM71" s="49"/>
      <c r="AN71" s="33"/>
      <c r="AO71" s="33"/>
      <c r="AP71" s="33"/>
      <c r="AQ71" s="33"/>
      <c r="AR71" s="32"/>
      <c r="AS71" s="33"/>
      <c r="AT71" s="33"/>
      <c r="AU71" s="33"/>
      <c r="AV71" s="33"/>
      <c r="AW71" s="26"/>
      <c r="AX71" s="34"/>
      <c r="AY71" s="26"/>
      <c r="AZ71" s="26"/>
      <c r="BA71" s="26"/>
      <c r="BJ71" s="33"/>
      <c r="BK71" s="33"/>
      <c r="BL71" s="33"/>
      <c r="BM71" s="33"/>
      <c r="BN71" s="33"/>
      <c r="BO71" s="33"/>
      <c r="BP71" s="33"/>
    </row>
    <row r="72" spans="2:68" ht="18.75" thickBot="1">
      <c r="B72" s="34"/>
      <c r="C72" s="26"/>
      <c r="D72" s="26"/>
      <c r="E72" s="26"/>
      <c r="F72" s="74"/>
      <c r="G72" s="28">
        <f>G71/24</f>
        <v>73.109666666666783</v>
      </c>
      <c r="H72" s="26" t="s">
        <v>5</v>
      </c>
      <c r="I72" s="26"/>
      <c r="J72" s="28">
        <f>J71/1000</f>
        <v>2.3336605600000038</v>
      </c>
      <c r="K72" s="28" t="s">
        <v>42</v>
      </c>
      <c r="L72" s="26"/>
      <c r="M72" s="74"/>
      <c r="N72" s="26"/>
      <c r="O72" s="28"/>
      <c r="P72" s="29"/>
      <c r="Q72" s="26"/>
      <c r="R72" s="31"/>
      <c r="S72" s="32"/>
      <c r="T72" s="49"/>
      <c r="U72" s="33"/>
      <c r="V72" s="33"/>
      <c r="W72" s="32"/>
      <c r="X72" s="187" t="s">
        <v>669</v>
      </c>
      <c r="Y72" s="134">
        <f t="shared" si="10"/>
        <v>0.25961010018187758</v>
      </c>
      <c r="Z72" s="134">
        <f t="shared" si="11"/>
        <v>0.25993438760750376</v>
      </c>
      <c r="AA72" s="134">
        <f t="shared" si="12"/>
        <v>0.25977224389469067</v>
      </c>
      <c r="AB72" s="134">
        <f t="shared" si="13"/>
        <v>0.25983710137981592</v>
      </c>
      <c r="AC72" s="134">
        <f t="shared" si="14"/>
        <v>0.25980467263725326</v>
      </c>
      <c r="AD72" s="134"/>
      <c r="AE72" s="33"/>
      <c r="AF72" s="122"/>
      <c r="AG72" s="32"/>
      <c r="AH72" s="53" t="s">
        <v>676</v>
      </c>
      <c r="AI72" s="54">
        <f>AI41-AI51-AI68</f>
        <v>201959.62455402571</v>
      </c>
      <c r="AJ72" s="55" t="s">
        <v>110</v>
      </c>
      <c r="AK72" s="32"/>
      <c r="AL72" s="49"/>
      <c r="AM72" s="49"/>
      <c r="AN72" s="33"/>
      <c r="AO72" s="33"/>
      <c r="AP72" s="33"/>
      <c r="AQ72" s="33"/>
      <c r="AR72" s="32"/>
      <c r="AS72" s="33"/>
      <c r="AT72" s="33"/>
      <c r="AU72" s="33"/>
      <c r="AV72" s="33"/>
      <c r="AW72" s="26"/>
      <c r="AX72" s="34"/>
      <c r="AY72" s="26"/>
      <c r="AZ72" s="26"/>
      <c r="BA72" s="26"/>
      <c r="BJ72" s="33"/>
      <c r="BK72" s="33"/>
      <c r="BL72" s="33"/>
      <c r="BM72" s="33"/>
      <c r="BN72" s="33"/>
      <c r="BO72" s="33"/>
      <c r="BP72" s="33"/>
    </row>
    <row r="73" spans="2:68" ht="18">
      <c r="B73" s="34"/>
      <c r="C73" s="26"/>
      <c r="D73" s="26"/>
      <c r="E73" s="26"/>
      <c r="F73" s="74" t="s">
        <v>36</v>
      </c>
      <c r="G73" s="28">
        <f>G65+K65</f>
        <v>67342.847704</v>
      </c>
      <c r="H73" s="26" t="s">
        <v>4</v>
      </c>
      <c r="I73" s="26"/>
      <c r="J73" s="28">
        <f>G73*C14</f>
        <v>58588.277502479999</v>
      </c>
      <c r="K73" s="28" t="s">
        <v>38</v>
      </c>
      <c r="L73" s="26"/>
      <c r="M73" s="74"/>
      <c r="N73" s="26"/>
      <c r="O73" s="28"/>
      <c r="P73" s="29"/>
      <c r="Q73" s="26"/>
      <c r="R73" s="31"/>
      <c r="S73" s="32"/>
      <c r="T73" s="49"/>
      <c r="U73" s="33"/>
      <c r="V73" s="33"/>
      <c r="W73" s="32"/>
      <c r="X73" s="187" t="s">
        <v>670</v>
      </c>
      <c r="Y73" s="134">
        <f t="shared" si="10"/>
        <v>4.1478128924350835E-2</v>
      </c>
      <c r="Z73" s="134">
        <f t="shared" si="11"/>
        <v>4.1588384450465539E-2</v>
      </c>
      <c r="AA73" s="134">
        <f t="shared" si="12"/>
        <v>4.153325668740819E-2</v>
      </c>
      <c r="AB73" s="134">
        <f t="shared" si="13"/>
        <v>4.1555307792631127E-2</v>
      </c>
      <c r="AC73" s="134">
        <f t="shared" si="14"/>
        <v>4.1544282240019659E-2</v>
      </c>
      <c r="AD73" s="134"/>
      <c r="AE73" s="33"/>
      <c r="AF73" s="49"/>
      <c r="AG73" s="32"/>
      <c r="AH73" s="49"/>
      <c r="AI73" s="33"/>
      <c r="AJ73" s="49"/>
      <c r="AK73" s="32"/>
      <c r="AL73" s="49"/>
      <c r="AM73" s="49"/>
      <c r="AN73" s="33"/>
      <c r="AO73" s="33"/>
      <c r="AP73" s="33"/>
      <c r="AQ73" s="33"/>
      <c r="AR73" s="32"/>
      <c r="AS73" s="33"/>
      <c r="AT73" s="33"/>
      <c r="AU73" s="33"/>
      <c r="AV73" s="33"/>
      <c r="AW73" s="26"/>
      <c r="AX73" s="34"/>
      <c r="AY73" s="26"/>
      <c r="AZ73" s="26"/>
      <c r="BA73" s="26"/>
      <c r="BJ73" s="33"/>
      <c r="BK73" s="33"/>
      <c r="BL73" s="33"/>
      <c r="BM73" s="33"/>
      <c r="BN73" s="33"/>
      <c r="BO73" s="33"/>
      <c r="BP73" s="33"/>
    </row>
    <row r="74" spans="2:68" ht="18">
      <c r="B74" s="34"/>
      <c r="C74" s="26"/>
      <c r="D74" s="26"/>
      <c r="E74" s="26"/>
      <c r="F74" s="74"/>
      <c r="G74" s="28">
        <f>G73/24</f>
        <v>2805.9519876666668</v>
      </c>
      <c r="H74" s="26" t="s">
        <v>5</v>
      </c>
      <c r="I74" s="26"/>
      <c r="J74" s="28">
        <f>J73/1000</f>
        <v>58.588277502479997</v>
      </c>
      <c r="K74" s="28" t="s">
        <v>42</v>
      </c>
      <c r="L74" s="26"/>
      <c r="M74" s="74"/>
      <c r="N74" s="26"/>
      <c r="O74" s="28"/>
      <c r="P74" s="29"/>
      <c r="Q74" s="26"/>
      <c r="R74" s="31"/>
      <c r="S74" s="32"/>
      <c r="T74" s="49"/>
      <c r="U74" s="33"/>
      <c r="V74" s="33"/>
      <c r="W74" s="32"/>
      <c r="X74" s="187" t="s">
        <v>671</v>
      </c>
      <c r="Y74" s="134">
        <f t="shared" si="10"/>
        <v>2.9078089898122494E-9</v>
      </c>
      <c r="Z74" s="134">
        <f t="shared" si="11"/>
        <v>2.9080536519064702E-9</v>
      </c>
      <c r="AA74" s="134">
        <f t="shared" si="12"/>
        <v>2.9079313208593596E-9</v>
      </c>
      <c r="AB74" s="134">
        <f t="shared" si="13"/>
        <v>2.9079802532782038E-9</v>
      </c>
      <c r="AC74" s="134">
        <f t="shared" si="14"/>
        <v>2.9079557870687817E-9</v>
      </c>
      <c r="AD74" s="134"/>
      <c r="AE74" s="33"/>
      <c r="AF74" s="122"/>
      <c r="AG74" s="32"/>
      <c r="AH74" s="49"/>
      <c r="AI74" s="33"/>
      <c r="AJ74" s="49"/>
      <c r="AK74" s="32"/>
      <c r="AL74" s="49"/>
      <c r="AM74" s="49"/>
      <c r="AN74" s="33"/>
      <c r="AO74" s="33"/>
      <c r="AP74" s="33"/>
      <c r="AQ74" s="33"/>
      <c r="AR74" s="32"/>
      <c r="AS74" s="33"/>
      <c r="AT74" s="33"/>
      <c r="AU74" s="33"/>
      <c r="AV74" s="33"/>
      <c r="AW74" s="26"/>
      <c r="AX74" s="34"/>
      <c r="AY74" s="26"/>
      <c r="AZ74" s="26"/>
      <c r="BA74" s="26"/>
      <c r="BJ74" s="33"/>
      <c r="BK74" s="33"/>
      <c r="BL74" s="33"/>
      <c r="BM74" s="33"/>
      <c r="BN74" s="33"/>
      <c r="BO74" s="33"/>
      <c r="BP74" s="33"/>
    </row>
    <row r="75" spans="2:68">
      <c r="B75" s="34"/>
      <c r="C75" s="26"/>
      <c r="D75" s="26"/>
      <c r="E75" s="26"/>
      <c r="F75" s="74" t="s">
        <v>37</v>
      </c>
      <c r="G75" s="28">
        <f>G67+K67</f>
        <v>40806.567999999999</v>
      </c>
      <c r="H75" s="26" t="s">
        <v>20</v>
      </c>
      <c r="I75" s="26"/>
      <c r="J75" s="28"/>
      <c r="K75" s="28"/>
      <c r="L75" s="26"/>
      <c r="M75" s="74"/>
      <c r="N75" s="26"/>
      <c r="O75" s="28"/>
      <c r="P75" s="29"/>
      <c r="Q75" s="26"/>
      <c r="R75" s="31"/>
      <c r="S75" s="32"/>
      <c r="T75" s="49"/>
      <c r="U75" s="33"/>
      <c r="V75" s="33"/>
      <c r="W75" s="32"/>
      <c r="X75" s="187" t="s">
        <v>469</v>
      </c>
      <c r="Y75" s="134">
        <f t="shared" si="10"/>
        <v>2.3289351195203633E-7</v>
      </c>
      <c r="Z75" s="134">
        <f t="shared" si="11"/>
        <v>2.3315891766366259E-7</v>
      </c>
      <c r="AA75" s="134">
        <f t="shared" si="12"/>
        <v>2.3302621480784946E-7</v>
      </c>
      <c r="AB75" s="134">
        <f t="shared" si="13"/>
        <v>2.3307929595017472E-7</v>
      </c>
      <c r="AC75" s="134">
        <f t="shared" si="14"/>
        <v>2.3305275537901209E-7</v>
      </c>
      <c r="AD75" s="134"/>
      <c r="AE75" s="33"/>
      <c r="AF75" s="49"/>
      <c r="AG75" s="65"/>
      <c r="AH75" s="122"/>
      <c r="AI75" s="33"/>
      <c r="AJ75" s="122"/>
      <c r="AK75" s="65"/>
      <c r="AL75" s="122"/>
      <c r="AM75" s="49"/>
      <c r="AN75" s="170"/>
      <c r="AO75" s="33"/>
      <c r="AP75" s="33"/>
      <c r="AQ75" s="33"/>
      <c r="AR75" s="32"/>
      <c r="AS75" s="33"/>
      <c r="AT75" s="33"/>
      <c r="AU75" s="33"/>
      <c r="AV75" s="33"/>
      <c r="AW75" s="26"/>
      <c r="AX75" s="34"/>
      <c r="AY75" s="26"/>
      <c r="AZ75" s="26"/>
      <c r="BA75" s="26"/>
    </row>
    <row r="76" spans="2:68">
      <c r="B76" s="34"/>
      <c r="C76" s="26"/>
      <c r="D76" s="26"/>
      <c r="E76" s="26"/>
      <c r="F76" s="74"/>
      <c r="G76" s="28"/>
      <c r="H76" s="26"/>
      <c r="I76" s="26"/>
      <c r="J76" s="26"/>
      <c r="K76" s="28"/>
      <c r="L76" s="26"/>
      <c r="M76" s="74"/>
      <c r="N76" s="26"/>
      <c r="O76" s="28"/>
      <c r="P76" s="29"/>
      <c r="Q76" s="26"/>
      <c r="R76" s="31"/>
      <c r="S76" s="32"/>
      <c r="T76" s="49"/>
      <c r="U76" s="33"/>
      <c r="V76" s="33"/>
      <c r="W76" s="32"/>
      <c r="X76" s="33" t="s">
        <v>509</v>
      </c>
      <c r="Y76" s="174">
        <f>SUM(Y70:Y75)</f>
        <v>0.39762200203056963</v>
      </c>
      <c r="Z76" s="174">
        <f t="shared" ref="Z76:AC76" si="15">SUM(Z70:Z75)</f>
        <v>0.39817115226761979</v>
      </c>
      <c r="AA76" s="174">
        <f t="shared" si="15"/>
        <v>0.39789657714909477</v>
      </c>
      <c r="AB76" s="202">
        <f t="shared" si="15"/>
        <v>0.39800640719650476</v>
      </c>
      <c r="AC76" s="174">
        <f t="shared" si="15"/>
        <v>0.39795149217279968</v>
      </c>
      <c r="AD76" s="174"/>
      <c r="AE76" s="33"/>
      <c r="AF76" s="49"/>
      <c r="AG76" s="32"/>
      <c r="AH76" s="49"/>
      <c r="AI76" s="33"/>
      <c r="AJ76" s="122"/>
      <c r="AK76" s="65"/>
      <c r="AL76" s="122"/>
      <c r="AM76" s="49"/>
      <c r="AN76" s="33"/>
      <c r="AO76" s="33"/>
      <c r="AP76" s="33"/>
      <c r="AQ76" s="33"/>
      <c r="AR76" s="32"/>
      <c r="AS76" s="33"/>
      <c r="AT76" s="33"/>
      <c r="AU76" s="33"/>
      <c r="AV76" s="33"/>
      <c r="AW76" s="26"/>
      <c r="AX76" s="34"/>
      <c r="AY76" s="26"/>
      <c r="AZ76" s="26"/>
      <c r="BA76" s="26"/>
    </row>
    <row r="77" spans="2:68">
      <c r="B77" s="34"/>
      <c r="C77" s="26"/>
      <c r="D77" s="26"/>
      <c r="E77" s="26"/>
      <c r="F77" s="74"/>
      <c r="G77" s="28"/>
      <c r="H77" s="26"/>
      <c r="I77" s="26"/>
      <c r="J77" s="26"/>
      <c r="K77" s="28"/>
      <c r="L77" s="26"/>
      <c r="M77" s="74"/>
      <c r="N77" s="26"/>
      <c r="O77" s="28"/>
      <c r="P77" s="29"/>
      <c r="Q77" s="26"/>
      <c r="R77" s="31"/>
      <c r="S77" s="32"/>
      <c r="T77" s="49"/>
      <c r="U77" s="33"/>
      <c r="V77" s="33"/>
      <c r="W77" s="32"/>
      <c r="X77" s="33" t="s">
        <v>510</v>
      </c>
      <c r="Y77" s="32">
        <f>Y76*Y69</f>
        <v>377.74090192904117</v>
      </c>
      <c r="Z77" s="32">
        <f t="shared" ref="Z77:AC77" si="16">Z76*Z69</f>
        <v>382.24430617691502</v>
      </c>
      <c r="AA77" s="32">
        <f t="shared" si="16"/>
        <v>379.99123117738549</v>
      </c>
      <c r="AB77" s="65">
        <f t="shared" si="16"/>
        <v>380.89213168705504</v>
      </c>
      <c r="AC77" s="32">
        <f t="shared" si="16"/>
        <v>380.44162651719648</v>
      </c>
      <c r="AD77" s="32"/>
      <c r="AE77" s="33"/>
      <c r="AF77" s="49"/>
      <c r="AG77" s="65"/>
      <c r="AH77" s="122"/>
      <c r="AI77" s="33"/>
      <c r="AJ77" s="32"/>
      <c r="AK77" s="33"/>
      <c r="AL77" s="33"/>
      <c r="AM77" s="49"/>
      <c r="AN77" s="33"/>
      <c r="AO77" s="33"/>
      <c r="AP77" s="33"/>
      <c r="AQ77" s="33"/>
      <c r="AR77" s="32"/>
      <c r="AS77" s="33"/>
      <c r="AT77" s="33"/>
      <c r="AU77" s="33"/>
      <c r="AV77" s="33"/>
      <c r="AW77" s="26"/>
      <c r="AX77" s="34"/>
      <c r="AY77" s="26"/>
      <c r="AZ77" s="26"/>
      <c r="BA77" s="26"/>
    </row>
    <row r="78" spans="2:68">
      <c r="B78" s="34"/>
      <c r="C78" s="26"/>
      <c r="D78" s="26"/>
      <c r="E78" s="26"/>
      <c r="F78" s="74" t="s">
        <v>35</v>
      </c>
      <c r="G78" s="28">
        <f>SUM(G71+G73+G75)</f>
        <v>109904.047704</v>
      </c>
      <c r="H78" s="26" t="s">
        <v>20</v>
      </c>
      <c r="I78" s="26"/>
      <c r="J78" s="26"/>
      <c r="K78" s="28"/>
      <c r="L78" s="26"/>
      <c r="M78" s="74"/>
      <c r="N78" s="26"/>
      <c r="O78" s="28"/>
      <c r="P78" s="29"/>
      <c r="Q78" s="26"/>
      <c r="R78" s="31"/>
      <c r="S78" s="32"/>
      <c r="T78" s="49"/>
      <c r="U78" s="33"/>
      <c r="V78" s="33"/>
      <c r="W78" s="32"/>
      <c r="X78" s="49"/>
      <c r="Y78" s="33"/>
      <c r="Z78" s="33"/>
      <c r="AA78" s="32"/>
      <c r="AB78" s="49"/>
      <c r="AC78" s="32"/>
      <c r="AD78" s="49"/>
      <c r="AE78" s="33"/>
      <c r="AF78" s="49"/>
      <c r="AG78" s="32"/>
      <c r="AH78" s="49"/>
      <c r="AI78" s="33"/>
      <c r="AJ78" s="122"/>
      <c r="AK78" s="33"/>
      <c r="AL78" s="49"/>
      <c r="AM78" s="49"/>
      <c r="AN78" s="33"/>
      <c r="AO78" s="33"/>
      <c r="AP78" s="33"/>
      <c r="AQ78" s="33"/>
      <c r="AR78" s="32"/>
      <c r="AS78" s="33"/>
      <c r="AT78" s="33"/>
      <c r="AU78" s="33"/>
      <c r="AV78" s="33"/>
      <c r="AW78" s="26"/>
      <c r="AX78" s="34"/>
      <c r="AY78" s="26"/>
      <c r="AZ78" s="26"/>
      <c r="BA78" s="26"/>
    </row>
    <row r="79" spans="2:68" ht="15.75" thickBot="1">
      <c r="B79" s="34"/>
      <c r="C79" s="26"/>
      <c r="D79" s="26"/>
      <c r="E79" s="26"/>
      <c r="F79" s="76"/>
      <c r="G79" s="77">
        <f>G78/1000</f>
        <v>109.90404770399999</v>
      </c>
      <c r="H79" s="81" t="s">
        <v>41</v>
      </c>
      <c r="I79" s="81"/>
      <c r="J79" s="81"/>
      <c r="K79" s="77"/>
      <c r="L79" s="81"/>
      <c r="M79" s="74"/>
      <c r="N79" s="26"/>
      <c r="O79" s="28"/>
      <c r="P79" s="29"/>
      <c r="Q79" s="26"/>
      <c r="R79" s="31"/>
      <c r="S79" s="32"/>
      <c r="T79" s="49"/>
      <c r="U79" s="33"/>
      <c r="V79" s="33"/>
      <c r="W79" s="32"/>
      <c r="X79" s="49" t="s">
        <v>519</v>
      </c>
      <c r="Y79" s="174">
        <f>AB76</f>
        <v>0.39800640719650476</v>
      </c>
      <c r="Z79" s="33"/>
      <c r="AA79" s="32"/>
      <c r="AB79" s="122"/>
      <c r="AC79" s="65"/>
      <c r="AD79" s="122"/>
      <c r="AE79" s="33"/>
      <c r="AF79" s="49"/>
      <c r="AG79" s="65"/>
      <c r="AH79" s="122"/>
      <c r="AI79" s="33"/>
      <c r="AJ79" s="122"/>
      <c r="AK79" s="65"/>
      <c r="AL79" s="122"/>
      <c r="AM79" s="49"/>
      <c r="AN79" s="33"/>
      <c r="AO79" s="33"/>
      <c r="AP79" s="33"/>
      <c r="AQ79" s="33"/>
      <c r="AR79" s="32"/>
      <c r="AS79" s="33"/>
      <c r="AT79" s="33"/>
      <c r="AU79" s="33"/>
      <c r="AV79" s="33"/>
      <c r="AW79" s="26"/>
      <c r="AX79" s="34"/>
      <c r="AY79" s="26"/>
      <c r="AZ79" s="26"/>
      <c r="BA79" s="26"/>
    </row>
    <row r="80" spans="2:68" ht="15.75" thickBot="1">
      <c r="B80" s="34"/>
      <c r="C80" s="26"/>
      <c r="D80" s="26"/>
      <c r="E80" s="26"/>
      <c r="F80" s="26"/>
      <c r="G80" s="28"/>
      <c r="H80" s="26"/>
      <c r="I80" s="26"/>
      <c r="J80" s="26"/>
      <c r="K80" s="28"/>
      <c r="L80" s="26"/>
      <c r="M80" s="26"/>
      <c r="N80" s="26"/>
      <c r="O80" s="28"/>
      <c r="P80" s="29"/>
      <c r="R80" s="31"/>
      <c r="S80" s="32"/>
      <c r="T80" s="49"/>
      <c r="U80" s="33"/>
      <c r="V80" s="33"/>
      <c r="W80" s="32"/>
      <c r="X80" s="125" t="s">
        <v>518</v>
      </c>
      <c r="Y80" s="172">
        <f>AB69</f>
        <v>957</v>
      </c>
      <c r="Z80" s="33"/>
      <c r="AA80" s="32"/>
      <c r="AB80" s="49"/>
      <c r="AC80" s="32"/>
      <c r="AD80" s="49"/>
      <c r="AE80" s="33"/>
      <c r="AF80" s="49"/>
      <c r="AG80" s="33"/>
      <c r="AH80" s="49"/>
      <c r="AI80" s="33"/>
      <c r="AJ80" s="122"/>
      <c r="AK80" s="33"/>
      <c r="AL80" s="49"/>
      <c r="AM80" s="49"/>
      <c r="AN80" s="33"/>
      <c r="AO80" s="33"/>
      <c r="AP80" s="33"/>
      <c r="AQ80" s="33"/>
      <c r="AR80" s="32"/>
      <c r="AS80" s="33"/>
      <c r="AT80" s="33"/>
      <c r="AU80" s="33"/>
      <c r="AV80" s="33"/>
      <c r="AW80" s="26"/>
      <c r="AX80" s="34"/>
      <c r="AY80" s="26"/>
      <c r="AZ80" s="26"/>
      <c r="BA80" s="26"/>
    </row>
    <row r="81" spans="2:53" ht="15.75" thickBot="1">
      <c r="B81" s="61"/>
      <c r="C81" s="62"/>
      <c r="D81" s="62"/>
      <c r="E81" s="62"/>
      <c r="F81" s="62"/>
      <c r="G81" s="63"/>
      <c r="H81" s="62"/>
      <c r="I81" s="62"/>
      <c r="J81" s="62"/>
      <c r="K81" s="63"/>
      <c r="L81" s="62"/>
      <c r="M81" s="62"/>
      <c r="N81" s="62"/>
      <c r="O81" s="63"/>
      <c r="P81" s="64"/>
      <c r="R81" s="173"/>
      <c r="S81" s="149"/>
      <c r="T81" s="148"/>
      <c r="U81" s="150"/>
      <c r="V81" s="150"/>
      <c r="W81" s="149"/>
      <c r="X81" s="151" t="s">
        <v>517</v>
      </c>
      <c r="Y81" s="150"/>
      <c r="Z81" s="150"/>
      <c r="AA81" s="149"/>
      <c r="AB81" s="148"/>
      <c r="AC81" s="148"/>
      <c r="AD81" s="150"/>
      <c r="AE81" s="148"/>
      <c r="AF81" s="148"/>
      <c r="AG81" s="150"/>
      <c r="AH81" s="148"/>
      <c r="AI81" s="150"/>
      <c r="AJ81" s="149"/>
      <c r="AK81" s="150"/>
      <c r="AL81" s="150"/>
      <c r="AM81" s="148"/>
      <c r="AN81" s="150"/>
      <c r="AO81" s="150"/>
      <c r="AP81" s="150"/>
      <c r="AQ81" s="150"/>
      <c r="AR81" s="149"/>
      <c r="AS81" s="150"/>
      <c r="AT81" s="150"/>
      <c r="AU81" s="150"/>
      <c r="AV81" s="150"/>
      <c r="AW81" s="62"/>
      <c r="AX81" s="34"/>
      <c r="AY81" s="26"/>
      <c r="AZ81" s="26"/>
      <c r="BA81" s="26"/>
    </row>
    <row r="82" spans="2:53">
      <c r="B82" s="26"/>
      <c r="C82" s="26"/>
      <c r="D82" s="26"/>
      <c r="E82" s="26"/>
      <c r="F82" s="26"/>
      <c r="G82" s="28"/>
      <c r="H82" s="26"/>
      <c r="I82" s="26"/>
      <c r="J82" s="26"/>
      <c r="K82" s="28"/>
      <c r="L82" s="26"/>
      <c r="M82" s="26"/>
      <c r="N82" s="26"/>
      <c r="O82" s="28"/>
      <c r="P82" s="26"/>
      <c r="R82" s="49"/>
      <c r="S82" s="32"/>
      <c r="T82" s="49"/>
      <c r="U82" s="33"/>
      <c r="V82" s="33"/>
      <c r="W82" s="32"/>
      <c r="AG82" s="33"/>
      <c r="AH82" s="49"/>
      <c r="AI82" s="33"/>
      <c r="AJ82" s="32"/>
      <c r="AK82" s="33"/>
      <c r="AL82" s="33"/>
      <c r="AM82" s="49"/>
      <c r="AN82" s="33"/>
      <c r="AO82" s="33"/>
      <c r="AP82" s="33"/>
      <c r="AQ82" s="33"/>
      <c r="AR82" s="32"/>
      <c r="AS82" s="33"/>
      <c r="AT82" s="33"/>
      <c r="AU82" s="33"/>
      <c r="AV82" s="33"/>
    </row>
    <row r="83" spans="2:53">
      <c r="B83" s="26"/>
      <c r="C83" s="26"/>
      <c r="D83" s="26"/>
      <c r="E83" s="26"/>
      <c r="F83" s="26"/>
      <c r="G83" s="28"/>
      <c r="H83" s="26"/>
      <c r="I83" s="26"/>
      <c r="J83" s="26"/>
      <c r="K83" s="28"/>
      <c r="L83" s="26"/>
      <c r="M83" s="26"/>
      <c r="N83" s="26"/>
      <c r="O83" s="28"/>
      <c r="P83" s="26"/>
      <c r="R83" s="49"/>
      <c r="S83" s="32"/>
      <c r="T83" s="49"/>
      <c r="U83" s="33"/>
      <c r="V83" s="33"/>
      <c r="W83" s="32"/>
      <c r="AG83" s="33"/>
      <c r="AH83" s="49"/>
      <c r="AI83" s="33"/>
      <c r="AJ83" s="32"/>
      <c r="AK83" s="33"/>
      <c r="AL83" s="33"/>
      <c r="AM83" s="33"/>
      <c r="AN83" s="33"/>
      <c r="AO83" s="33"/>
      <c r="AP83" s="33"/>
      <c r="AQ83" s="33"/>
      <c r="AR83" s="32"/>
      <c r="AS83" s="33"/>
      <c r="AT83" s="33"/>
      <c r="AU83" s="33"/>
      <c r="AV83" s="33"/>
    </row>
    <row r="84" spans="2:53">
      <c r="R84" s="49"/>
      <c r="S84" s="32"/>
      <c r="T84" s="49"/>
      <c r="U84" s="33"/>
      <c r="V84" s="33"/>
      <c r="W84" s="32"/>
      <c r="AG84" s="33"/>
      <c r="AH84" s="49"/>
      <c r="AI84" s="33"/>
      <c r="AJ84" s="49"/>
      <c r="AK84" s="33"/>
      <c r="AL84" s="49"/>
      <c r="AM84" s="49"/>
      <c r="AN84" s="33"/>
      <c r="AO84" s="33"/>
      <c r="AP84" s="33"/>
      <c r="AQ84" s="33"/>
      <c r="AR84" s="32"/>
      <c r="AS84" s="33"/>
      <c r="AT84" s="33"/>
      <c r="AU84" s="33"/>
      <c r="AV84" s="33"/>
    </row>
    <row r="85" spans="2:53" ht="15.75" thickBot="1">
      <c r="B85" s="17" t="s">
        <v>190</v>
      </c>
      <c r="R85" s="49"/>
      <c r="S85" s="32"/>
      <c r="T85" s="49"/>
      <c r="U85" s="33"/>
      <c r="V85" s="33"/>
      <c r="W85" s="32"/>
      <c r="X85" s="49"/>
      <c r="Y85" s="33"/>
      <c r="Z85" s="33"/>
      <c r="AA85" s="32"/>
      <c r="AB85" s="49"/>
      <c r="AC85" s="49"/>
      <c r="AD85" s="33"/>
      <c r="AE85" s="49"/>
      <c r="AF85" s="49"/>
      <c r="AG85" s="33"/>
      <c r="AH85" s="49"/>
      <c r="AI85" s="33"/>
      <c r="AJ85" s="49"/>
      <c r="AK85" s="33"/>
      <c r="AL85" s="49"/>
      <c r="AM85" s="49"/>
      <c r="AN85" s="33"/>
      <c r="AO85" s="33"/>
      <c r="AP85" s="33"/>
      <c r="AQ85" s="33"/>
      <c r="AR85" s="32"/>
      <c r="AS85" s="33"/>
      <c r="AT85" s="33"/>
      <c r="AU85" s="33"/>
      <c r="AV85" s="33"/>
    </row>
    <row r="86" spans="2:53">
      <c r="B86" s="23" t="s">
        <v>43</v>
      </c>
      <c r="C86" s="21"/>
      <c r="D86" s="19"/>
      <c r="E86" s="19"/>
      <c r="F86" s="19"/>
      <c r="G86" s="21"/>
      <c r="H86" s="19"/>
      <c r="I86" s="19"/>
      <c r="J86" s="19"/>
      <c r="K86" s="21"/>
      <c r="L86" s="19"/>
      <c r="M86" s="19"/>
      <c r="N86" s="19"/>
      <c r="O86" s="19"/>
      <c r="P86" s="21"/>
      <c r="Q86" s="19"/>
      <c r="R86" s="19"/>
      <c r="S86" s="19"/>
      <c r="T86" s="21"/>
      <c r="U86" s="19"/>
      <c r="V86" s="19"/>
      <c r="W86" s="19"/>
      <c r="X86" s="21"/>
      <c r="Y86" s="19"/>
      <c r="Z86" s="19"/>
      <c r="AA86" s="19"/>
      <c r="AB86" s="19"/>
      <c r="AC86" s="19"/>
      <c r="AD86" s="19"/>
      <c r="AE86" s="19"/>
      <c r="AF86" s="22"/>
      <c r="AH86" s="23" t="s">
        <v>819</v>
      </c>
      <c r="AI86" s="19"/>
      <c r="AJ86" s="19"/>
      <c r="AK86" s="19"/>
      <c r="AL86" s="19"/>
      <c r="AM86" s="19"/>
      <c r="AN86" s="22"/>
    </row>
    <row r="87" spans="2:53">
      <c r="B87" s="30" t="s">
        <v>57</v>
      </c>
      <c r="C87" s="28"/>
      <c r="D87" s="26"/>
      <c r="E87" s="26"/>
      <c r="F87" s="26"/>
      <c r="G87" s="28"/>
      <c r="H87" s="27" t="s">
        <v>67</v>
      </c>
      <c r="I87" s="26"/>
      <c r="J87" s="26"/>
      <c r="K87" s="28"/>
      <c r="L87" s="26"/>
      <c r="M87" s="26"/>
      <c r="N87" s="26"/>
      <c r="O87" s="26"/>
      <c r="P87" s="28"/>
      <c r="Q87" s="26"/>
      <c r="R87" s="26"/>
      <c r="S87" s="26"/>
      <c r="T87" s="28"/>
      <c r="U87" s="26"/>
      <c r="V87" s="27" t="s">
        <v>73</v>
      </c>
      <c r="W87" s="26"/>
      <c r="X87" s="26"/>
      <c r="Y87" s="26"/>
      <c r="Z87" s="26"/>
      <c r="AA87" s="26"/>
      <c r="AB87" s="26"/>
      <c r="AC87" s="26"/>
      <c r="AD87" s="26"/>
      <c r="AE87" s="26"/>
      <c r="AF87" s="29"/>
      <c r="AH87" s="34"/>
      <c r="AI87" s="26"/>
      <c r="AJ87" s="26"/>
      <c r="AK87" s="26"/>
      <c r="AL87" s="26" t="s">
        <v>212</v>
      </c>
      <c r="AM87" s="26"/>
      <c r="AN87" s="29"/>
    </row>
    <row r="88" spans="2:53" ht="18">
      <c r="B88" s="34"/>
      <c r="C88" s="28"/>
      <c r="D88" s="26"/>
      <c r="E88" s="26"/>
      <c r="F88" s="26"/>
      <c r="G88" s="28"/>
      <c r="H88" s="27" t="s">
        <v>58</v>
      </c>
      <c r="I88" s="26"/>
      <c r="J88" s="26"/>
      <c r="K88" s="28"/>
      <c r="L88" s="27" t="s">
        <v>63</v>
      </c>
      <c r="M88" s="26"/>
      <c r="N88" s="26"/>
      <c r="O88" s="26"/>
      <c r="P88" s="27" t="s">
        <v>68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9"/>
      <c r="AH88" s="346" t="s">
        <v>765</v>
      </c>
      <c r="AI88" s="347"/>
      <c r="AJ88" s="347" t="s">
        <v>766</v>
      </c>
      <c r="AK88" s="348" t="s">
        <v>764</v>
      </c>
      <c r="AL88" s="26"/>
      <c r="AM88" s="26"/>
      <c r="AN88" s="29"/>
    </row>
    <row r="89" spans="2:53">
      <c r="B89" s="307" t="s">
        <v>681</v>
      </c>
      <c r="C89" s="28"/>
      <c r="D89" s="3"/>
      <c r="E89" s="3"/>
      <c r="F89" s="3"/>
      <c r="G89" s="28"/>
      <c r="H89" s="26"/>
      <c r="I89" s="26"/>
      <c r="J89" s="26"/>
      <c r="K89" s="28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45" t="s">
        <v>74</v>
      </c>
      <c r="W89" s="44">
        <f>F23</f>
        <v>75</v>
      </c>
      <c r="X89" s="43" t="s">
        <v>11</v>
      </c>
      <c r="Y89" s="26"/>
      <c r="Z89" s="26"/>
      <c r="AA89" s="26"/>
      <c r="AB89" s="26"/>
      <c r="AC89" s="26"/>
      <c r="AD89" s="26"/>
      <c r="AE89" s="26"/>
      <c r="AF89" s="29"/>
      <c r="AH89" s="25" t="s">
        <v>623</v>
      </c>
      <c r="AI89" s="36"/>
      <c r="AJ89" s="421">
        <f>AP22*AA39*24</f>
        <v>21528.646539353569</v>
      </c>
      <c r="AK89" s="342" t="s">
        <v>113</v>
      </c>
      <c r="AL89" s="26"/>
      <c r="AM89" s="26"/>
      <c r="AN89" s="29"/>
    </row>
    <row r="90" spans="2:53">
      <c r="B90" s="82" t="s">
        <v>44</v>
      </c>
      <c r="C90" s="28">
        <f>G79</f>
        <v>109.90404770399999</v>
      </c>
      <c r="D90" s="36" t="s">
        <v>41</v>
      </c>
      <c r="E90" s="3"/>
      <c r="F90" s="3"/>
      <c r="G90" s="28"/>
      <c r="H90" s="3" t="s">
        <v>59</v>
      </c>
      <c r="I90" s="28">
        <v>37</v>
      </c>
      <c r="J90" s="3"/>
      <c r="K90" s="28"/>
      <c r="L90" s="3" t="s">
        <v>66</v>
      </c>
      <c r="M90" s="28">
        <v>1000</v>
      </c>
      <c r="N90" s="3" t="s">
        <v>64</v>
      </c>
      <c r="O90" s="26"/>
      <c r="P90" s="3" t="s">
        <v>72</v>
      </c>
      <c r="Q90" s="6">
        <f>C94*0.004</f>
        <v>15.200000000000001</v>
      </c>
      <c r="R90" s="2" t="s">
        <v>69</v>
      </c>
      <c r="S90" s="3" t="s">
        <v>70</v>
      </c>
      <c r="T90" s="26"/>
      <c r="U90" s="26"/>
      <c r="V90" s="26" t="s">
        <v>78</v>
      </c>
      <c r="W90" s="28">
        <v>350</v>
      </c>
      <c r="X90" s="36" t="s">
        <v>79</v>
      </c>
      <c r="Y90" s="26"/>
      <c r="Z90" s="26"/>
      <c r="AA90" s="26"/>
      <c r="AB90" s="26"/>
      <c r="AC90" s="26"/>
      <c r="AD90" s="26"/>
      <c r="AE90" s="26"/>
      <c r="AF90" s="29"/>
      <c r="AH90" s="25" t="s">
        <v>114</v>
      </c>
      <c r="AI90" s="36"/>
      <c r="AJ90" s="422">
        <f>W93</f>
        <v>13670.598083912</v>
      </c>
      <c r="AK90" s="342" t="s">
        <v>113</v>
      </c>
      <c r="AL90" s="26"/>
      <c r="AM90" s="26"/>
      <c r="AN90" s="29"/>
    </row>
    <row r="91" spans="2:53">
      <c r="B91" s="82" t="s">
        <v>45</v>
      </c>
      <c r="C91" s="28">
        <v>30</v>
      </c>
      <c r="D91" s="3" t="s">
        <v>46</v>
      </c>
      <c r="E91" s="3"/>
      <c r="F91" s="3"/>
      <c r="G91" s="28"/>
      <c r="H91" s="3" t="s">
        <v>60</v>
      </c>
      <c r="I91" s="28">
        <v>12.5</v>
      </c>
      <c r="J91" s="3"/>
      <c r="K91" s="28"/>
      <c r="L91" s="2" t="s">
        <v>71</v>
      </c>
      <c r="M91" s="6">
        <f>G79*M90</f>
        <v>109904.047704</v>
      </c>
      <c r="N91" s="2" t="s">
        <v>65</v>
      </c>
      <c r="O91" s="26"/>
      <c r="P91" s="26"/>
      <c r="Q91" s="6">
        <f>Q90*3.6</f>
        <v>54.720000000000006</v>
      </c>
      <c r="R91" s="35" t="s">
        <v>109</v>
      </c>
      <c r="S91" s="26"/>
      <c r="T91" s="26"/>
      <c r="U91" s="26"/>
      <c r="V91" s="45" t="s">
        <v>75</v>
      </c>
      <c r="W91" s="44">
        <f>F24</f>
        <v>60</v>
      </c>
      <c r="X91" s="43" t="s">
        <v>11</v>
      </c>
      <c r="Y91" s="26"/>
      <c r="Z91" s="26"/>
      <c r="AA91" s="26"/>
      <c r="AB91" s="26"/>
      <c r="AC91" s="26"/>
      <c r="AD91" s="26"/>
      <c r="AE91" s="26"/>
      <c r="AF91" s="29"/>
      <c r="AH91" s="25" t="s">
        <v>115</v>
      </c>
      <c r="AI91" s="36"/>
      <c r="AJ91" s="422">
        <f>W92</f>
        <v>20505.897125867999</v>
      </c>
      <c r="AK91" s="342" t="s">
        <v>113</v>
      </c>
      <c r="AL91" s="26"/>
      <c r="AM91" s="26"/>
      <c r="AN91" s="29"/>
    </row>
    <row r="92" spans="2:53" ht="15.75" thickBot="1">
      <c r="B92" s="82" t="s">
        <v>47</v>
      </c>
      <c r="C92" s="28">
        <f>C90*C91</f>
        <v>3297.1214311199997</v>
      </c>
      <c r="D92" s="3"/>
      <c r="E92" s="3"/>
      <c r="F92" s="3"/>
      <c r="G92" s="28"/>
      <c r="H92" s="3" t="s">
        <v>202</v>
      </c>
      <c r="I92" s="28">
        <f>I90-I91</f>
        <v>24.5</v>
      </c>
      <c r="J92" s="3"/>
      <c r="K92" s="28"/>
      <c r="L92" s="36"/>
      <c r="M92" s="6">
        <f>M91*0.004184</f>
        <v>459.83853559353599</v>
      </c>
      <c r="N92" s="2" t="s">
        <v>109</v>
      </c>
      <c r="O92" s="26"/>
      <c r="P92" s="47" t="s">
        <v>678</v>
      </c>
      <c r="Q92" s="44">
        <f>C21</f>
        <v>1.3</v>
      </c>
      <c r="R92" s="43"/>
      <c r="S92" s="26"/>
      <c r="T92" s="26"/>
      <c r="U92" s="26"/>
      <c r="V92" s="26" t="s">
        <v>76</v>
      </c>
      <c r="W92" s="28">
        <f>W90*J74</f>
        <v>20505.897125867999</v>
      </c>
      <c r="X92" s="36" t="s">
        <v>54</v>
      </c>
      <c r="Y92" s="26"/>
      <c r="Z92" s="26"/>
      <c r="AA92" s="26"/>
      <c r="AB92" s="26"/>
      <c r="AC92" s="26"/>
      <c r="AD92" s="26"/>
      <c r="AE92" s="26"/>
      <c r="AF92" s="29"/>
      <c r="AH92" s="25" t="s">
        <v>210</v>
      </c>
      <c r="AI92" s="36" t="s">
        <v>620</v>
      </c>
      <c r="AJ92" s="421">
        <f>AU51*AL92</f>
        <v>0</v>
      </c>
      <c r="AK92" s="75"/>
      <c r="AL92" s="26">
        <v>0</v>
      </c>
      <c r="AM92" s="26" t="s">
        <v>621</v>
      </c>
      <c r="AN92" s="29"/>
    </row>
    <row r="93" spans="2:53" ht="17.25" thickBot="1">
      <c r="B93" s="82" t="s">
        <v>55</v>
      </c>
      <c r="C93" s="28">
        <f>C92*0.15+C92</f>
        <v>3791.6896457879998</v>
      </c>
      <c r="D93" s="36"/>
      <c r="E93" s="26"/>
      <c r="F93" s="3"/>
      <c r="G93" s="28"/>
      <c r="H93" s="2" t="s">
        <v>61</v>
      </c>
      <c r="I93" s="6">
        <f>I92*C97*0.034*24</f>
        <v>27422.33396387516</v>
      </c>
      <c r="J93" s="2" t="s">
        <v>62</v>
      </c>
      <c r="K93" s="28"/>
      <c r="L93" s="47" t="s">
        <v>678</v>
      </c>
      <c r="M93" s="44">
        <f>C21</f>
        <v>1.3</v>
      </c>
      <c r="N93" s="43"/>
      <c r="O93" s="26"/>
      <c r="P93" s="89" t="s">
        <v>197</v>
      </c>
      <c r="Q93" s="90">
        <f>Q92*Q91</f>
        <v>71.13600000000001</v>
      </c>
      <c r="R93" s="56" t="s">
        <v>109</v>
      </c>
      <c r="S93" s="26"/>
      <c r="T93" s="26"/>
      <c r="U93" s="26"/>
      <c r="V93" s="26" t="s">
        <v>77</v>
      </c>
      <c r="W93" s="28">
        <f>W92/(W91/100)*((100-W91)/100)</f>
        <v>13670.598083912</v>
      </c>
      <c r="X93" s="36" t="s">
        <v>54</v>
      </c>
      <c r="Y93" s="26"/>
      <c r="Z93" s="26"/>
      <c r="AA93" s="26"/>
      <c r="AB93" s="26"/>
      <c r="AC93" s="26"/>
      <c r="AD93" s="26"/>
      <c r="AE93" s="26"/>
      <c r="AF93" s="29"/>
      <c r="AH93" s="25"/>
      <c r="AI93" s="36" t="s">
        <v>622</v>
      </c>
      <c r="AJ93" s="421">
        <f>AU52*AL93</f>
        <v>419.05093164625487</v>
      </c>
      <c r="AK93" s="75"/>
      <c r="AL93" s="84">
        <f>717.51/AL99</f>
        <v>362.9286798179059</v>
      </c>
      <c r="AM93" s="3" t="s">
        <v>337</v>
      </c>
      <c r="AN93" s="29"/>
    </row>
    <row r="94" spans="2:53" ht="17.25" thickBot="1">
      <c r="B94" s="25" t="s">
        <v>56</v>
      </c>
      <c r="C94" s="28">
        <f>ROUNDUP(C93,-2)</f>
        <v>3800</v>
      </c>
      <c r="D94" s="3" t="s">
        <v>52</v>
      </c>
      <c r="E94" s="26"/>
      <c r="F94" s="26"/>
      <c r="G94" s="28"/>
      <c r="H94" s="3"/>
      <c r="I94" s="6">
        <f>I93*0.004184</f>
        <v>114.73504530485367</v>
      </c>
      <c r="J94" s="2" t="s">
        <v>109</v>
      </c>
      <c r="K94" s="28"/>
      <c r="L94" s="53" t="s">
        <v>206</v>
      </c>
      <c r="M94" s="54">
        <f>M93*M92</f>
        <v>597.79009627159678</v>
      </c>
      <c r="N94" s="55" t="s">
        <v>109</v>
      </c>
      <c r="O94" s="26"/>
      <c r="P94" s="26"/>
      <c r="Q94" s="26"/>
      <c r="R94" s="36"/>
      <c r="S94" s="26"/>
      <c r="T94" s="26"/>
      <c r="U94" s="26"/>
      <c r="V94" s="27" t="s">
        <v>120</v>
      </c>
      <c r="W94" s="6">
        <f>W92/(W91/100)</f>
        <v>34176.495209779998</v>
      </c>
      <c r="X94" s="35" t="s">
        <v>80</v>
      </c>
      <c r="Y94" s="26"/>
      <c r="Z94" s="26"/>
      <c r="AA94" s="26"/>
      <c r="AB94" s="26"/>
      <c r="AC94" s="26"/>
      <c r="AD94" s="26"/>
      <c r="AE94" s="26"/>
      <c r="AF94" s="29"/>
      <c r="AH94" s="25"/>
      <c r="AI94" s="36" t="s">
        <v>1</v>
      </c>
      <c r="AJ94" s="421">
        <f>U124*AL94</f>
        <v>636.80627532625294</v>
      </c>
      <c r="AK94" s="342" t="s">
        <v>113</v>
      </c>
      <c r="AL94" s="84">
        <f>717.51/AL99</f>
        <v>362.9286798179059</v>
      </c>
      <c r="AM94" s="3" t="s">
        <v>337</v>
      </c>
      <c r="AN94" s="29"/>
    </row>
    <row r="95" spans="2:53" ht="15.75" thickBot="1">
      <c r="B95" s="82" t="s">
        <v>48</v>
      </c>
      <c r="C95" s="28">
        <f>2*(C94/3/PI())^(1/3)</f>
        <v>14.775226665015193</v>
      </c>
      <c r="D95" s="3" t="s">
        <v>49</v>
      </c>
      <c r="E95" s="3" t="s">
        <v>682</v>
      </c>
      <c r="F95" s="3"/>
      <c r="G95" s="28"/>
      <c r="H95" s="47" t="s">
        <v>678</v>
      </c>
      <c r="I95" s="44">
        <f>C21</f>
        <v>1.3</v>
      </c>
      <c r="J95" s="47"/>
      <c r="K95" s="28"/>
      <c r="L95" s="3"/>
      <c r="M95" s="28"/>
      <c r="N95" s="36"/>
      <c r="O95" s="26"/>
      <c r="P95" s="26"/>
      <c r="Q95" s="26"/>
      <c r="R95" s="26"/>
      <c r="S95" s="26"/>
      <c r="T95" s="26"/>
      <c r="U95" s="26"/>
      <c r="V95" s="26"/>
      <c r="W95" s="26"/>
      <c r="X95" s="36"/>
      <c r="Y95" s="26"/>
      <c r="Z95" s="26"/>
      <c r="AA95" s="26"/>
      <c r="AB95" s="26"/>
      <c r="AC95" s="26"/>
      <c r="AD95" s="26"/>
      <c r="AE95" s="26"/>
      <c r="AF95" s="29"/>
      <c r="AH95" s="25"/>
      <c r="AI95" s="36" t="s">
        <v>211</v>
      </c>
      <c r="AJ95" s="421">
        <f>U123*AL94</f>
        <v>24871.080418698763</v>
      </c>
      <c r="AK95" s="342" t="s">
        <v>113</v>
      </c>
      <c r="AL95" s="26"/>
      <c r="AM95" s="26"/>
      <c r="AN95" s="29"/>
    </row>
    <row r="96" spans="2:53" ht="15.75" thickBot="1">
      <c r="B96" s="82" t="s">
        <v>51</v>
      </c>
      <c r="C96" s="28">
        <f>C95/2*3</f>
        <v>22.162839997522788</v>
      </c>
      <c r="D96" s="3" t="s">
        <v>49</v>
      </c>
      <c r="E96" s="26"/>
      <c r="F96" s="26"/>
      <c r="G96" s="28"/>
      <c r="H96" s="53" t="s">
        <v>196</v>
      </c>
      <c r="I96" s="54">
        <f>I95*I94</f>
        <v>149.15555889630977</v>
      </c>
      <c r="J96" s="55" t="s">
        <v>109</v>
      </c>
      <c r="K96" s="28"/>
      <c r="L96" s="36"/>
      <c r="M96" s="26"/>
      <c r="N96" s="36"/>
      <c r="O96" s="26"/>
      <c r="P96" s="26"/>
      <c r="Q96" s="26"/>
      <c r="R96" s="26"/>
      <c r="S96" s="26"/>
      <c r="T96" s="26"/>
      <c r="U96" s="26"/>
      <c r="V96" s="26"/>
      <c r="W96" s="26"/>
      <c r="X96" s="36"/>
      <c r="Y96" s="26"/>
      <c r="Z96" s="26"/>
      <c r="AA96" s="26"/>
      <c r="AB96" s="26"/>
      <c r="AC96" s="26"/>
      <c r="AD96" s="26"/>
      <c r="AE96" s="26"/>
      <c r="AF96" s="29"/>
      <c r="AH96" s="343" t="s">
        <v>213</v>
      </c>
      <c r="AI96" s="344"/>
      <c r="AJ96" s="423">
        <f>U120*AL96</f>
        <v>10.464140235786337</v>
      </c>
      <c r="AK96" s="345" t="s">
        <v>113</v>
      </c>
      <c r="AL96" s="97">
        <f>0.5/AL99</f>
        <v>0.25290844714213456</v>
      </c>
      <c r="AM96" s="26" t="s">
        <v>214</v>
      </c>
      <c r="AN96" s="29"/>
    </row>
    <row r="97" spans="2:40">
      <c r="B97" s="82" t="s">
        <v>689</v>
      </c>
      <c r="C97" s="28">
        <f>(((C95/2)^2*PI())*2)+((PI()*C95)*C96)</f>
        <v>1371.6653643394936</v>
      </c>
      <c r="D97" s="3" t="s">
        <v>53</v>
      </c>
      <c r="E97" s="3"/>
      <c r="F97" s="3"/>
      <c r="G97" s="28"/>
      <c r="H97" s="36"/>
      <c r="I97" s="26"/>
      <c r="J97" s="36"/>
      <c r="K97" s="28"/>
      <c r="L97" s="3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9"/>
      <c r="AH97" s="25"/>
      <c r="AI97" s="26"/>
      <c r="AJ97" s="26"/>
      <c r="AK97" s="26"/>
      <c r="AL97" s="26"/>
      <c r="AM97" s="26"/>
      <c r="AN97" s="29"/>
    </row>
    <row r="98" spans="2:40" ht="15.75" thickBot="1">
      <c r="B98" s="25"/>
      <c r="C98" s="28"/>
      <c r="D98" s="3"/>
      <c r="E98" s="26"/>
      <c r="F98" s="26"/>
      <c r="G98" s="28"/>
      <c r="H98" s="36"/>
      <c r="I98" s="26"/>
      <c r="J98" s="36"/>
      <c r="K98" s="28"/>
      <c r="L98" s="3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9"/>
      <c r="AH98" s="25"/>
      <c r="AI98" s="26"/>
      <c r="AJ98" s="26"/>
      <c r="AK98" s="26"/>
      <c r="AL98" s="26"/>
      <c r="AM98" s="26"/>
      <c r="AN98" s="29"/>
    </row>
    <row r="99" spans="2:40">
      <c r="B99" s="82" t="s">
        <v>688</v>
      </c>
      <c r="C99" s="28">
        <f>(C95/2)^2*PI()*C96</f>
        <v>3799.9999999999995</v>
      </c>
      <c r="D99" s="3" t="s">
        <v>52</v>
      </c>
      <c r="E99" s="26"/>
      <c r="F99" s="26"/>
      <c r="G99" s="28"/>
      <c r="H99" s="36"/>
      <c r="I99" s="26"/>
      <c r="J99" s="36"/>
      <c r="K99" s="28"/>
      <c r="L99" s="3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9"/>
      <c r="AH99" s="98" t="s">
        <v>116</v>
      </c>
      <c r="AI99" s="99"/>
      <c r="AJ99" s="100">
        <f>SUM(AJ89:AJ96)</f>
        <v>81642.543515040627</v>
      </c>
      <c r="AK99" s="101" t="s">
        <v>113</v>
      </c>
      <c r="AL99" s="28">
        <v>1.9770000000000001</v>
      </c>
      <c r="AM99" s="36" t="s">
        <v>117</v>
      </c>
      <c r="AN99" s="29"/>
    </row>
    <row r="100" spans="2:40">
      <c r="B100" s="25"/>
      <c r="C100" s="28"/>
      <c r="D100" s="36"/>
      <c r="E100" s="26"/>
      <c r="F100" s="26"/>
      <c r="G100" s="28"/>
      <c r="H100" s="36"/>
      <c r="I100" s="26"/>
      <c r="J100" s="36"/>
      <c r="K100" s="28"/>
      <c r="L100" s="3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9"/>
      <c r="AH100" s="102" t="s">
        <v>215</v>
      </c>
      <c r="AI100" s="103"/>
      <c r="AJ100" s="104">
        <f>AJ99*AL99/1000</f>
        <v>161.40730852923534</v>
      </c>
      <c r="AK100" s="105" t="s">
        <v>118</v>
      </c>
      <c r="AL100" s="26"/>
      <c r="AM100" s="26"/>
      <c r="AN100" s="29"/>
    </row>
    <row r="101" spans="2:40" ht="15.75" thickBot="1">
      <c r="B101" s="25"/>
      <c r="C101" s="28"/>
      <c r="D101" s="36"/>
      <c r="E101" s="26"/>
      <c r="F101" s="26"/>
      <c r="G101" s="28"/>
      <c r="H101" s="35" t="s">
        <v>81</v>
      </c>
      <c r="I101" s="26"/>
      <c r="J101" s="36"/>
      <c r="K101" s="28"/>
      <c r="L101" s="36"/>
      <c r="M101" s="26"/>
      <c r="N101" s="26"/>
      <c r="O101" s="26"/>
      <c r="P101" s="27" t="s">
        <v>99</v>
      </c>
      <c r="Q101" s="26"/>
      <c r="R101" s="26"/>
      <c r="S101" s="26"/>
      <c r="T101" s="27" t="s">
        <v>119</v>
      </c>
      <c r="U101" s="26"/>
      <c r="V101" s="26"/>
      <c r="W101" s="26"/>
      <c r="X101" s="26"/>
      <c r="AE101" s="26"/>
      <c r="AF101" s="29"/>
      <c r="AH101" s="106" t="s">
        <v>216</v>
      </c>
      <c r="AI101" s="107"/>
      <c r="AJ101" s="108">
        <f>SUM(AJ92:AJ96,AJ89)*AL99/1000</f>
        <v>93.840377499500264</v>
      </c>
      <c r="AK101" s="109" t="s">
        <v>217</v>
      </c>
      <c r="AL101" s="26"/>
      <c r="AM101" s="26"/>
      <c r="AN101" s="29"/>
    </row>
    <row r="102" spans="2:40">
      <c r="B102" s="25"/>
      <c r="C102" s="28"/>
      <c r="D102" s="36"/>
      <c r="E102" s="26"/>
      <c r="F102" s="26"/>
      <c r="G102" s="28"/>
      <c r="H102" s="35" t="s">
        <v>82</v>
      </c>
      <c r="I102" s="26"/>
      <c r="J102" s="36"/>
      <c r="K102" s="28"/>
      <c r="L102" s="27" t="s">
        <v>85</v>
      </c>
      <c r="M102" s="26"/>
      <c r="N102" s="26"/>
      <c r="O102" s="26"/>
      <c r="P102" s="27" t="s">
        <v>112</v>
      </c>
      <c r="Q102" s="26"/>
      <c r="R102" s="26"/>
      <c r="S102" s="26"/>
      <c r="T102" s="27" t="s">
        <v>135</v>
      </c>
      <c r="U102" s="26"/>
      <c r="V102" s="26"/>
      <c r="W102" s="26"/>
      <c r="X102" s="26"/>
      <c r="AC102" s="27"/>
      <c r="AD102" s="26"/>
      <c r="AE102" s="26"/>
      <c r="AF102" s="29"/>
      <c r="AH102" s="34"/>
      <c r="AI102" s="26"/>
      <c r="AJ102" s="26"/>
      <c r="AK102" s="26"/>
      <c r="AL102" s="26"/>
      <c r="AM102" s="26"/>
      <c r="AN102" s="29"/>
    </row>
    <row r="103" spans="2:40">
      <c r="B103" s="25"/>
      <c r="C103" s="28"/>
      <c r="D103" s="36"/>
      <c r="E103" s="26"/>
      <c r="F103" s="26"/>
      <c r="G103" s="28"/>
      <c r="H103" s="36"/>
      <c r="I103" s="26"/>
      <c r="J103" s="36"/>
      <c r="K103" s="28"/>
      <c r="L103" s="35" t="s">
        <v>94</v>
      </c>
      <c r="M103" s="26"/>
      <c r="N103" s="26"/>
      <c r="O103" s="26"/>
      <c r="P103" s="36" t="s">
        <v>101</v>
      </c>
      <c r="Q103" s="28">
        <v>9500</v>
      </c>
      <c r="R103" s="36" t="s">
        <v>102</v>
      </c>
      <c r="S103" s="26"/>
      <c r="T103" s="36" t="s">
        <v>129</v>
      </c>
      <c r="U103" s="28">
        <f>C90</f>
        <v>109.90404770399999</v>
      </c>
      <c r="V103" s="36" t="s">
        <v>41</v>
      </c>
      <c r="W103" s="36"/>
      <c r="X103" s="26"/>
      <c r="AF103" s="29"/>
      <c r="AH103" s="34"/>
      <c r="AI103" s="26"/>
      <c r="AJ103" s="26"/>
      <c r="AK103" s="26"/>
      <c r="AL103" s="26"/>
      <c r="AM103" s="26"/>
      <c r="AN103" s="29"/>
    </row>
    <row r="104" spans="2:40">
      <c r="B104" s="25"/>
      <c r="C104" s="28"/>
      <c r="D104" s="36"/>
      <c r="E104" s="26"/>
      <c r="F104" s="26"/>
      <c r="G104" s="28"/>
      <c r="H104" s="36" t="s">
        <v>83</v>
      </c>
      <c r="I104" s="26"/>
      <c r="J104" s="36"/>
      <c r="K104" s="28"/>
      <c r="L104" s="36" t="s">
        <v>88</v>
      </c>
      <c r="M104" s="32">
        <f>W94/24</f>
        <v>1424.0206337408333</v>
      </c>
      <c r="N104" s="3" t="s">
        <v>87</v>
      </c>
      <c r="O104" s="26"/>
      <c r="P104" s="36" t="s">
        <v>100</v>
      </c>
      <c r="Q104" s="28">
        <f>W92*Q103</f>
        <v>194806022.695746</v>
      </c>
      <c r="R104" s="36" t="s">
        <v>103</v>
      </c>
      <c r="S104" s="26"/>
      <c r="T104" s="36" t="s">
        <v>125</v>
      </c>
      <c r="U104" s="28">
        <f>C16*C90</f>
        <v>30.223613118599999</v>
      </c>
      <c r="V104" s="36" t="s">
        <v>123</v>
      </c>
      <c r="W104" s="36"/>
      <c r="X104" s="26"/>
      <c r="AF104" s="29"/>
      <c r="AH104" s="34"/>
      <c r="AI104" s="26"/>
      <c r="AJ104" s="26"/>
      <c r="AK104" s="26"/>
      <c r="AL104" s="26"/>
      <c r="AM104" s="26"/>
      <c r="AN104" s="29"/>
    </row>
    <row r="105" spans="2:40">
      <c r="B105" s="25"/>
      <c r="C105" s="28"/>
      <c r="D105" s="36"/>
      <c r="E105" s="26"/>
      <c r="F105" s="26"/>
      <c r="G105" s="28"/>
      <c r="H105" s="36" t="s">
        <v>84</v>
      </c>
      <c r="I105" s="26"/>
      <c r="J105" s="36"/>
      <c r="K105" s="28"/>
      <c r="L105" s="36"/>
      <c r="M105" s="28">
        <v>3.2934131736526949E-2</v>
      </c>
      <c r="N105" s="36" t="s">
        <v>89</v>
      </c>
      <c r="O105" s="26"/>
      <c r="P105" s="36"/>
      <c r="Q105" s="6">
        <f>Q104*0.004184</f>
        <v>815068.39895900129</v>
      </c>
      <c r="R105" s="36" t="s">
        <v>109</v>
      </c>
      <c r="S105" s="26"/>
      <c r="T105" s="36" t="s">
        <v>126</v>
      </c>
      <c r="U105" s="28">
        <f>C17*C90</f>
        <v>26.596779544367998</v>
      </c>
      <c r="V105" s="36" t="s">
        <v>124</v>
      </c>
      <c r="W105" s="36"/>
      <c r="X105" s="26"/>
      <c r="AF105" s="29"/>
      <c r="AH105" s="34"/>
      <c r="AI105" s="26"/>
      <c r="AJ105" s="26"/>
      <c r="AK105" s="26"/>
      <c r="AL105" s="26"/>
      <c r="AM105" s="26"/>
      <c r="AN105" s="29"/>
    </row>
    <row r="106" spans="2:40">
      <c r="B106" s="25"/>
      <c r="C106" s="28"/>
      <c r="D106" s="36"/>
      <c r="E106" s="26"/>
      <c r="F106" s="26"/>
      <c r="G106" s="28"/>
      <c r="H106" s="36">
        <v>32.26</v>
      </c>
      <c r="I106" s="26" t="s">
        <v>251</v>
      </c>
      <c r="J106" s="36"/>
      <c r="K106" s="28"/>
      <c r="L106" s="36" t="s">
        <v>91</v>
      </c>
      <c r="M106" s="28">
        <v>2.9</v>
      </c>
      <c r="N106" s="36" t="s">
        <v>92</v>
      </c>
      <c r="O106" s="26"/>
      <c r="P106" s="36"/>
      <c r="Q106" s="26"/>
      <c r="R106" s="36"/>
      <c r="S106" s="26"/>
      <c r="T106" s="35" t="s">
        <v>131</v>
      </c>
      <c r="U106" s="6">
        <f>(U104-U105)+((U105*(1-(W89/100))))</f>
        <v>10.276028460324001</v>
      </c>
      <c r="V106" s="35" t="s">
        <v>128</v>
      </c>
      <c r="W106" s="36" t="s">
        <v>127</v>
      </c>
      <c r="X106" s="26"/>
      <c r="AF106" s="29"/>
      <c r="AH106" s="34"/>
      <c r="AI106" s="26"/>
      <c r="AJ106" s="26"/>
      <c r="AK106" s="26"/>
      <c r="AL106" s="26"/>
      <c r="AM106" s="26"/>
      <c r="AN106" s="29"/>
    </row>
    <row r="107" spans="2:40">
      <c r="B107" s="25"/>
      <c r="C107" s="28"/>
      <c r="D107" s="36"/>
      <c r="E107" s="26"/>
      <c r="F107" s="26"/>
      <c r="G107" s="28"/>
      <c r="H107" s="112">
        <f>H106*W94/1000/1000</f>
        <v>1.1025337354675024</v>
      </c>
      <c r="I107" s="26" t="s">
        <v>41</v>
      </c>
      <c r="J107" s="36"/>
      <c r="K107" s="28"/>
      <c r="L107" s="38" t="s">
        <v>209</v>
      </c>
      <c r="M107" s="39">
        <f>M104*M105/M106</f>
        <v>16.172028671432138</v>
      </c>
      <c r="N107" s="38" t="s">
        <v>90</v>
      </c>
      <c r="O107" s="26" t="s">
        <v>93</v>
      </c>
      <c r="P107" s="43" t="s">
        <v>107</v>
      </c>
      <c r="Q107" s="44">
        <f>I21</f>
        <v>30</v>
      </c>
      <c r="R107" s="43" t="s">
        <v>12</v>
      </c>
      <c r="S107" s="26"/>
      <c r="T107" s="36" t="s">
        <v>130</v>
      </c>
      <c r="U107" s="28">
        <v>85</v>
      </c>
      <c r="V107" s="36" t="s">
        <v>12</v>
      </c>
      <c r="W107" s="36" t="s">
        <v>686</v>
      </c>
      <c r="X107" s="26"/>
      <c r="AF107" s="29"/>
      <c r="AH107" s="34"/>
      <c r="AI107" s="26"/>
      <c r="AJ107" s="26"/>
      <c r="AK107" s="26"/>
      <c r="AL107" s="26"/>
      <c r="AM107" s="26"/>
      <c r="AN107" s="29"/>
    </row>
    <row r="108" spans="2:40">
      <c r="B108" s="25"/>
      <c r="C108" s="28"/>
      <c r="D108" s="36"/>
      <c r="E108" s="26"/>
      <c r="F108" s="26"/>
      <c r="G108" s="28"/>
      <c r="H108" s="36"/>
      <c r="I108" s="26"/>
      <c r="J108" s="36"/>
      <c r="K108" s="28"/>
      <c r="L108" s="95"/>
      <c r="M108" s="39">
        <f>M107/180*1000</f>
        <v>89.844603730178534</v>
      </c>
      <c r="N108" s="38" t="s">
        <v>20</v>
      </c>
      <c r="O108" s="26"/>
      <c r="P108" s="43" t="s">
        <v>108</v>
      </c>
      <c r="Q108" s="44">
        <f>I22</f>
        <v>50</v>
      </c>
      <c r="R108" s="43" t="s">
        <v>12</v>
      </c>
      <c r="S108" s="26"/>
      <c r="T108" s="308" t="s">
        <v>685</v>
      </c>
      <c r="U108" s="236">
        <f>200/10000</f>
        <v>0.02</v>
      </c>
      <c r="V108" s="38" t="s">
        <v>608</v>
      </c>
      <c r="W108" s="36"/>
      <c r="X108" s="26"/>
      <c r="AE108" s="26"/>
      <c r="AF108" s="29"/>
      <c r="AH108" s="34"/>
      <c r="AI108" s="26"/>
      <c r="AJ108" s="26"/>
      <c r="AK108" s="26"/>
      <c r="AL108" s="26"/>
      <c r="AM108" s="26"/>
      <c r="AN108" s="29"/>
    </row>
    <row r="109" spans="2:40" ht="15.75" thickBot="1">
      <c r="B109" s="25"/>
      <c r="C109" s="28"/>
      <c r="D109" s="36"/>
      <c r="E109" s="26"/>
      <c r="F109" s="26"/>
      <c r="G109" s="28"/>
      <c r="H109" s="36"/>
      <c r="I109" s="26"/>
      <c r="J109" s="36"/>
      <c r="K109" s="28"/>
      <c r="L109" s="3"/>
      <c r="M109" s="85"/>
      <c r="N109" s="3"/>
      <c r="O109" s="26"/>
      <c r="P109" s="49" t="s">
        <v>106</v>
      </c>
      <c r="Q109" s="32">
        <f>Q104*Q107/100</f>
        <v>58441806.8087238</v>
      </c>
      <c r="R109" s="49" t="s">
        <v>103</v>
      </c>
      <c r="S109" s="26"/>
      <c r="T109" s="38"/>
      <c r="U109" s="236">
        <f>U103*U108/100</f>
        <v>2.1980809540799999E-2</v>
      </c>
      <c r="V109" s="38" t="s">
        <v>41</v>
      </c>
      <c r="W109" s="36"/>
      <c r="X109" s="26"/>
      <c r="AE109" s="26"/>
      <c r="AF109" s="29"/>
      <c r="AH109" s="34"/>
      <c r="AI109" s="26"/>
      <c r="AJ109" s="26"/>
      <c r="AK109" s="26"/>
      <c r="AL109" s="26"/>
      <c r="AM109" s="26"/>
      <c r="AN109" s="29"/>
    </row>
    <row r="110" spans="2:40" ht="15.75" thickBot="1">
      <c r="B110" s="25"/>
      <c r="C110" s="28"/>
      <c r="D110" s="36"/>
      <c r="E110" s="26"/>
      <c r="F110" s="26"/>
      <c r="G110" s="28"/>
      <c r="H110" s="36"/>
      <c r="I110" s="26"/>
      <c r="J110" s="36"/>
      <c r="K110" s="28"/>
      <c r="L110" s="3"/>
      <c r="M110" s="85"/>
      <c r="N110" s="3"/>
      <c r="O110" s="26"/>
      <c r="P110" s="50" t="s">
        <v>208</v>
      </c>
      <c r="Q110" s="51">
        <f>Q109*0.004184</f>
        <v>244520.51968770041</v>
      </c>
      <c r="R110" s="58" t="s">
        <v>109</v>
      </c>
      <c r="S110" s="26"/>
      <c r="T110" s="48" t="s">
        <v>611</v>
      </c>
      <c r="U110" s="9">
        <f>U109/2*1000</f>
        <v>10.9904047704</v>
      </c>
      <c r="V110" s="9" t="s">
        <v>613</v>
      </c>
      <c r="W110" s="12" t="s">
        <v>603</v>
      </c>
      <c r="X110" s="111"/>
      <c r="AE110" s="26"/>
      <c r="AF110" s="29"/>
      <c r="AH110" s="34"/>
      <c r="AI110" s="26"/>
      <c r="AJ110" s="26"/>
      <c r="AK110" s="26"/>
      <c r="AL110" s="26"/>
      <c r="AM110" s="26"/>
      <c r="AN110" s="29"/>
    </row>
    <row r="111" spans="2:40" ht="15.75" thickBot="1">
      <c r="B111" s="25"/>
      <c r="C111" s="28"/>
      <c r="D111" s="36"/>
      <c r="E111" s="26"/>
      <c r="F111" s="26"/>
      <c r="G111" s="28"/>
      <c r="H111" s="36"/>
      <c r="I111" s="26"/>
      <c r="J111" s="36"/>
      <c r="K111" s="28"/>
      <c r="L111" s="35" t="s">
        <v>86</v>
      </c>
      <c r="M111" s="86"/>
      <c r="N111" s="36"/>
      <c r="O111" s="26"/>
      <c r="P111" s="49" t="s">
        <v>105</v>
      </c>
      <c r="Q111" s="32">
        <f>Q104*Q108/100</f>
        <v>97403011.347873002</v>
      </c>
      <c r="R111" s="49" t="s">
        <v>103</v>
      </c>
      <c r="S111" s="26"/>
      <c r="T111" s="48" t="s">
        <v>612</v>
      </c>
      <c r="U111" s="9">
        <f>U109/2*1000</f>
        <v>10.9904047704</v>
      </c>
      <c r="V111" s="9" t="s">
        <v>613</v>
      </c>
      <c r="W111" s="12" t="s">
        <v>604</v>
      </c>
      <c r="X111" s="26"/>
      <c r="AE111" s="26"/>
      <c r="AF111" s="29"/>
      <c r="AH111" s="34"/>
      <c r="AI111" s="26"/>
      <c r="AJ111" s="26"/>
      <c r="AK111" s="26"/>
      <c r="AL111" s="26"/>
      <c r="AM111" s="26"/>
      <c r="AN111" s="29"/>
    </row>
    <row r="112" spans="2:40" ht="15.75" thickBot="1">
      <c r="B112" s="25"/>
      <c r="C112" s="28"/>
      <c r="D112" s="36"/>
      <c r="E112" s="26"/>
      <c r="F112" s="26"/>
      <c r="G112" s="28"/>
      <c r="H112" s="36"/>
      <c r="I112" s="26"/>
      <c r="J112" s="36"/>
      <c r="K112" s="28"/>
      <c r="L112" s="36"/>
      <c r="M112" s="86"/>
      <c r="N112" s="36"/>
      <c r="O112" s="26"/>
      <c r="P112" s="53" t="s">
        <v>207</v>
      </c>
      <c r="Q112" s="54">
        <f>Q111*0.004184</f>
        <v>407534.19947950065</v>
      </c>
      <c r="R112" s="94" t="s">
        <v>109</v>
      </c>
      <c r="S112" s="26"/>
      <c r="T112" s="48" t="s">
        <v>614</v>
      </c>
      <c r="U112" s="238">
        <f>U110*4/9</f>
        <v>4.8846243423999995</v>
      </c>
      <c r="V112" s="9" t="s">
        <v>613</v>
      </c>
      <c r="W112" s="36"/>
      <c r="X112" s="26"/>
      <c r="AE112" s="26"/>
      <c r="AF112" s="29"/>
      <c r="AH112" s="34"/>
      <c r="AI112" s="26"/>
      <c r="AJ112" s="26"/>
      <c r="AK112" s="26"/>
      <c r="AL112" s="26"/>
      <c r="AM112" s="26"/>
      <c r="AN112" s="29"/>
    </row>
    <row r="113" spans="2:40">
      <c r="B113" s="25"/>
      <c r="C113" s="28"/>
      <c r="D113" s="36"/>
      <c r="E113" s="26"/>
      <c r="F113" s="26"/>
      <c r="G113" s="28"/>
      <c r="H113" s="36"/>
      <c r="I113" s="26"/>
      <c r="J113" s="36"/>
      <c r="K113" s="28"/>
      <c r="L113" s="43" t="s">
        <v>95</v>
      </c>
      <c r="M113" s="400">
        <v>60</v>
      </c>
      <c r="N113" s="43" t="s">
        <v>12</v>
      </c>
      <c r="O113" s="26"/>
      <c r="P113" s="36"/>
      <c r="Q113" s="28"/>
      <c r="R113" s="36"/>
      <c r="S113" s="26"/>
      <c r="T113" s="48" t="s">
        <v>615</v>
      </c>
      <c r="U113" s="238">
        <f>U111/3</f>
        <v>3.6634682567999999</v>
      </c>
      <c r="V113" s="9" t="s">
        <v>613</v>
      </c>
      <c r="W113" s="36"/>
      <c r="X113" s="26"/>
      <c r="AE113" s="26"/>
      <c r="AF113" s="29"/>
      <c r="AH113" s="34"/>
      <c r="AI113" s="26"/>
      <c r="AJ113" s="26"/>
      <c r="AK113" s="26"/>
      <c r="AL113" s="26"/>
      <c r="AM113" s="26"/>
      <c r="AN113" s="29"/>
    </row>
    <row r="114" spans="2:40" ht="16.5">
      <c r="B114" s="25"/>
      <c r="C114" s="28"/>
      <c r="D114" s="36"/>
      <c r="E114" s="26"/>
      <c r="F114" s="26"/>
      <c r="G114" s="28"/>
      <c r="H114" s="36"/>
      <c r="I114" s="26"/>
      <c r="J114" s="26"/>
      <c r="K114" s="28"/>
      <c r="L114" s="36" t="s">
        <v>205</v>
      </c>
      <c r="M114" s="28">
        <v>24516.6</v>
      </c>
      <c r="N114" s="36" t="s">
        <v>96</v>
      </c>
      <c r="O114" s="26"/>
      <c r="P114" s="91" t="s">
        <v>111</v>
      </c>
      <c r="Q114" s="87">
        <f>Q105-Q110-Q112</f>
        <v>163013.67979180021</v>
      </c>
      <c r="R114" s="93" t="s">
        <v>109</v>
      </c>
      <c r="S114" s="26"/>
      <c r="W114" s="36"/>
      <c r="X114" s="26"/>
      <c r="AE114" s="26"/>
      <c r="AF114" s="29"/>
      <c r="AH114" s="34"/>
      <c r="AI114" s="26"/>
      <c r="AJ114" s="26"/>
      <c r="AK114" s="26"/>
      <c r="AL114" s="26"/>
      <c r="AM114" s="26"/>
      <c r="AN114" s="29"/>
    </row>
    <row r="115" spans="2:40">
      <c r="B115" s="25"/>
      <c r="C115" s="28"/>
      <c r="D115" s="36"/>
      <c r="E115" s="26"/>
      <c r="F115" s="26"/>
      <c r="G115" s="28"/>
      <c r="H115" s="36"/>
      <c r="I115" s="26"/>
      <c r="J115" s="26"/>
      <c r="K115" s="28"/>
      <c r="L115" s="36"/>
      <c r="M115" s="28">
        <f>M104/(M113/100)*M114/3600/1000</f>
        <v>16.163029754245606</v>
      </c>
      <c r="N115" s="36" t="s">
        <v>97</v>
      </c>
      <c r="O115" s="26"/>
      <c r="P115" s="36"/>
      <c r="Q115" s="26"/>
      <c r="R115" s="36"/>
      <c r="S115" s="26"/>
      <c r="X115" s="26"/>
      <c r="AE115" s="26"/>
      <c r="AF115" s="29"/>
      <c r="AH115" s="34"/>
      <c r="AI115" s="26"/>
      <c r="AJ115" s="26"/>
      <c r="AK115" s="26"/>
      <c r="AL115" s="26"/>
      <c r="AM115" s="26"/>
      <c r="AN115" s="29"/>
    </row>
    <row r="116" spans="2:40" ht="15.75" thickBot="1">
      <c r="B116" s="25"/>
      <c r="C116" s="28"/>
      <c r="D116" s="36"/>
      <c r="E116" s="26"/>
      <c r="F116" s="26"/>
      <c r="G116" s="28"/>
      <c r="H116" s="36"/>
      <c r="I116" s="26"/>
      <c r="J116" s="26"/>
      <c r="K116" s="28"/>
      <c r="L116" s="49"/>
      <c r="M116" s="32">
        <v>6915.9056346976176</v>
      </c>
      <c r="N116" s="49" t="s">
        <v>98</v>
      </c>
      <c r="O116" s="26"/>
      <c r="P116" s="36"/>
      <c r="Q116" s="26"/>
      <c r="R116" s="36"/>
      <c r="S116" s="26"/>
      <c r="T116" s="92" t="s">
        <v>132</v>
      </c>
      <c r="U116" s="83">
        <f>U106/((100-U107)/100)+U109</f>
        <v>68.528837211700818</v>
      </c>
      <c r="V116" s="92" t="s">
        <v>133</v>
      </c>
      <c r="W116" s="364" t="s">
        <v>806</v>
      </c>
      <c r="X116" s="26"/>
      <c r="AE116" s="26"/>
      <c r="AF116" s="29"/>
      <c r="AH116" s="34"/>
      <c r="AI116" s="26"/>
      <c r="AJ116" s="26"/>
      <c r="AK116" s="26"/>
      <c r="AL116" s="26"/>
      <c r="AM116" s="26"/>
      <c r="AN116" s="29"/>
    </row>
    <row r="117" spans="2:40" ht="17.25" customHeight="1" thickBot="1">
      <c r="B117" s="25"/>
      <c r="C117" s="28"/>
      <c r="D117" s="36"/>
      <c r="E117" s="26"/>
      <c r="F117" s="26"/>
      <c r="G117" s="28"/>
      <c r="H117" s="36"/>
      <c r="I117" s="26"/>
      <c r="J117" s="26"/>
      <c r="K117" s="28"/>
      <c r="L117" s="50" t="s">
        <v>150</v>
      </c>
      <c r="M117" s="51">
        <f>M116*0.004184*24</f>
        <v>694.46758021379605</v>
      </c>
      <c r="N117" s="58" t="s">
        <v>109</v>
      </c>
      <c r="O117" s="26"/>
      <c r="P117" s="36"/>
      <c r="Q117" s="26"/>
      <c r="R117" s="36"/>
      <c r="S117" s="26"/>
      <c r="T117" s="50" t="s">
        <v>250</v>
      </c>
      <c r="U117" s="51">
        <f>7.6*(U106+U109)*3.6*2</f>
        <v>563.50706724700183</v>
      </c>
      <c r="V117" s="58" t="s">
        <v>110</v>
      </c>
      <c r="W117" s="364" t="s">
        <v>808</v>
      </c>
      <c r="X117" s="26"/>
      <c r="AE117" s="26"/>
      <c r="AF117" s="29"/>
      <c r="AH117" s="34"/>
      <c r="AI117" s="26"/>
      <c r="AJ117" s="26"/>
      <c r="AK117" s="26"/>
      <c r="AL117" s="26"/>
      <c r="AM117" s="26"/>
      <c r="AN117" s="29"/>
    </row>
    <row r="118" spans="2:40" ht="16.5">
      <c r="B118" s="25"/>
      <c r="C118" s="28"/>
      <c r="D118" s="36"/>
      <c r="E118" s="26"/>
      <c r="F118" s="26"/>
      <c r="G118" s="28"/>
      <c r="H118" s="36"/>
      <c r="I118" s="26"/>
      <c r="J118" s="26"/>
      <c r="K118" s="28"/>
      <c r="L118" s="36"/>
      <c r="M118" s="28"/>
      <c r="N118" s="36"/>
      <c r="O118" s="26"/>
      <c r="P118" s="36"/>
      <c r="Q118" s="26"/>
      <c r="R118" s="36"/>
      <c r="S118" s="26"/>
      <c r="W118" s="365" t="s">
        <v>807</v>
      </c>
      <c r="X118" s="26"/>
      <c r="AE118" s="26"/>
      <c r="AF118" s="29"/>
      <c r="AH118" s="34"/>
      <c r="AI118" s="26"/>
      <c r="AJ118" s="26"/>
      <c r="AK118" s="26"/>
      <c r="AL118" s="26"/>
      <c r="AM118" s="26"/>
      <c r="AN118" s="29"/>
    </row>
    <row r="119" spans="2:40">
      <c r="B119" s="25"/>
      <c r="C119" s="28"/>
      <c r="D119" s="36"/>
      <c r="E119" s="26"/>
      <c r="F119" s="26"/>
      <c r="G119" s="28"/>
      <c r="H119" s="36"/>
      <c r="I119" s="26"/>
      <c r="J119" s="26"/>
      <c r="K119" s="28"/>
      <c r="L119" s="36"/>
      <c r="M119" s="36"/>
      <c r="N119" s="26"/>
      <c r="O119" s="36"/>
      <c r="P119" s="36"/>
      <c r="Q119" s="26"/>
      <c r="R119" s="36"/>
      <c r="S119" s="26"/>
      <c r="T119" s="35" t="s">
        <v>136</v>
      </c>
      <c r="U119" s="26"/>
      <c r="V119" s="36"/>
      <c r="W119" s="36"/>
      <c r="X119" s="26"/>
      <c r="AE119" s="26"/>
      <c r="AF119" s="29"/>
      <c r="AH119" s="34"/>
      <c r="AI119" s="26"/>
      <c r="AJ119" s="26"/>
      <c r="AK119" s="26"/>
      <c r="AL119" s="26"/>
      <c r="AM119" s="26"/>
      <c r="AN119" s="29"/>
    </row>
    <row r="120" spans="2:40">
      <c r="B120" s="25"/>
      <c r="C120" s="28"/>
      <c r="D120" s="36"/>
      <c r="E120" s="26"/>
      <c r="F120" s="26"/>
      <c r="G120" s="28"/>
      <c r="H120" s="36"/>
      <c r="I120" s="26"/>
      <c r="J120" s="26"/>
      <c r="K120" s="28"/>
      <c r="L120" s="36"/>
      <c r="M120" s="36"/>
      <c r="N120" s="26"/>
      <c r="O120" s="36"/>
      <c r="P120" s="36"/>
      <c r="Q120" s="26"/>
      <c r="R120" s="36"/>
      <c r="S120" s="26"/>
      <c r="T120" s="92" t="s">
        <v>134</v>
      </c>
      <c r="U120" s="83">
        <f>U103-U116</f>
        <v>41.375210492299175</v>
      </c>
      <c r="V120" s="92" t="s">
        <v>41</v>
      </c>
      <c r="W120" s="36"/>
      <c r="X120" s="26"/>
      <c r="AE120" s="26"/>
      <c r="AF120" s="29"/>
      <c r="AH120" s="34"/>
      <c r="AI120" s="26"/>
      <c r="AJ120" s="26"/>
      <c r="AK120" s="26"/>
      <c r="AL120" s="26"/>
      <c r="AM120" s="26"/>
      <c r="AN120" s="29"/>
    </row>
    <row r="121" spans="2:40">
      <c r="B121" s="25"/>
      <c r="C121" s="28"/>
      <c r="D121" s="36"/>
      <c r="E121" s="26"/>
      <c r="F121" s="26"/>
      <c r="G121" s="28"/>
      <c r="H121" s="36"/>
      <c r="I121" s="26"/>
      <c r="J121" s="26"/>
      <c r="K121" s="28"/>
      <c r="L121" s="36"/>
      <c r="M121" s="36"/>
      <c r="N121" s="26"/>
      <c r="O121" s="36"/>
      <c r="P121" s="36"/>
      <c r="Q121" s="26"/>
      <c r="R121" s="36"/>
      <c r="S121" s="26"/>
      <c r="T121" s="36"/>
      <c r="U121" s="26"/>
      <c r="V121" s="36"/>
      <c r="W121" s="36"/>
      <c r="X121" s="26"/>
      <c r="AE121" s="26"/>
      <c r="AF121" s="29"/>
      <c r="AH121" s="34"/>
      <c r="AI121" s="26"/>
      <c r="AJ121" s="26"/>
      <c r="AK121" s="26"/>
      <c r="AL121" s="26"/>
      <c r="AM121" s="26"/>
      <c r="AN121" s="29"/>
    </row>
    <row r="122" spans="2:40">
      <c r="B122" s="25"/>
      <c r="C122" s="28"/>
      <c r="D122" s="36"/>
      <c r="E122" s="26"/>
      <c r="F122" s="26"/>
      <c r="G122" s="28"/>
      <c r="H122" s="36"/>
      <c r="I122" s="26"/>
      <c r="J122" s="26"/>
      <c r="K122" s="28"/>
      <c r="L122" s="36"/>
      <c r="M122" s="36"/>
      <c r="N122" s="26"/>
      <c r="O122" s="36"/>
      <c r="P122" s="36"/>
      <c r="Q122" s="26"/>
      <c r="R122" s="36"/>
      <c r="S122" s="26"/>
      <c r="T122" s="35" t="s">
        <v>730</v>
      </c>
      <c r="U122" s="26"/>
      <c r="V122" s="36"/>
      <c r="W122" s="36"/>
      <c r="X122" s="26"/>
      <c r="AE122" s="26"/>
      <c r="AF122" s="29"/>
      <c r="AH122" s="34"/>
      <c r="AI122" s="26"/>
      <c r="AJ122" s="26"/>
      <c r="AK122" s="26"/>
      <c r="AL122" s="26"/>
      <c r="AM122" s="26"/>
      <c r="AN122" s="29"/>
    </row>
    <row r="123" spans="2:40">
      <c r="B123" s="25"/>
      <c r="C123" s="28"/>
      <c r="D123" s="26"/>
      <c r="E123" s="26"/>
      <c r="F123" s="26"/>
      <c r="G123" s="28"/>
      <c r="H123" s="36"/>
      <c r="I123" s="26"/>
      <c r="J123" s="26"/>
      <c r="K123" s="28"/>
      <c r="L123" s="36"/>
      <c r="M123" s="36"/>
      <c r="N123" s="26"/>
      <c r="O123" s="36"/>
      <c r="P123" s="36"/>
      <c r="Q123" s="26"/>
      <c r="R123" s="36"/>
      <c r="S123" s="26"/>
      <c r="T123" s="35" t="s">
        <v>132</v>
      </c>
      <c r="U123" s="6">
        <f>U116</f>
        <v>68.528837211700818</v>
      </c>
      <c r="V123" s="35" t="s">
        <v>133</v>
      </c>
      <c r="W123" s="36"/>
      <c r="X123" s="26"/>
      <c r="AE123" s="26"/>
      <c r="AF123" s="29"/>
      <c r="AH123" s="34"/>
      <c r="AI123" s="26"/>
      <c r="AJ123" s="26"/>
      <c r="AK123" s="26"/>
      <c r="AL123" s="26"/>
      <c r="AM123" s="26"/>
      <c r="AN123" s="29"/>
    </row>
    <row r="124" spans="2:40">
      <c r="B124" s="25"/>
      <c r="C124" s="28"/>
      <c r="D124" s="26"/>
      <c r="E124" s="26"/>
      <c r="F124" s="26"/>
      <c r="G124" s="28"/>
      <c r="H124" s="36"/>
      <c r="I124" s="26"/>
      <c r="J124" s="26"/>
      <c r="K124" s="28"/>
      <c r="L124" s="36"/>
      <c r="M124" s="36"/>
      <c r="N124" s="26"/>
      <c r="O124" s="36"/>
      <c r="P124" s="36"/>
      <c r="Q124" s="26"/>
      <c r="R124" s="36"/>
      <c r="S124" s="26"/>
      <c r="T124" s="35" t="s">
        <v>1</v>
      </c>
      <c r="U124" s="27">
        <f>G71/1000</f>
        <v>1.7546320000000029</v>
      </c>
      <c r="V124" s="35" t="s">
        <v>189</v>
      </c>
      <c r="W124" s="36"/>
      <c r="X124" s="26"/>
      <c r="AE124" s="26"/>
      <c r="AF124" s="29"/>
      <c r="AH124" s="34"/>
      <c r="AI124" s="26"/>
      <c r="AJ124" s="26"/>
      <c r="AK124" s="26"/>
      <c r="AL124" s="26"/>
      <c r="AM124" s="26"/>
      <c r="AN124" s="29"/>
    </row>
    <row r="125" spans="2:40">
      <c r="B125" s="25"/>
      <c r="C125" s="28"/>
      <c r="D125" s="26"/>
      <c r="E125" s="26"/>
      <c r="F125" s="26"/>
      <c r="G125" s="28"/>
      <c r="H125" s="36"/>
      <c r="I125" s="26"/>
      <c r="J125" s="26"/>
      <c r="K125" s="28"/>
      <c r="L125" s="36"/>
      <c r="M125" s="36"/>
      <c r="N125" s="26"/>
      <c r="O125" s="36"/>
      <c r="P125" s="36"/>
      <c r="Q125" s="26"/>
      <c r="R125" s="36"/>
      <c r="S125" s="26"/>
      <c r="T125" s="36"/>
      <c r="U125" s="26"/>
      <c r="V125" s="36"/>
      <c r="W125" s="26"/>
      <c r="X125" s="36"/>
      <c r="Y125" s="26"/>
      <c r="Z125" s="36"/>
      <c r="AA125" s="36"/>
      <c r="AB125" s="26"/>
      <c r="AE125" s="26"/>
      <c r="AF125" s="29"/>
      <c r="AH125" s="34"/>
      <c r="AI125" s="26"/>
      <c r="AJ125" s="26"/>
      <c r="AK125" s="26"/>
      <c r="AL125" s="26"/>
      <c r="AM125" s="26"/>
      <c r="AN125" s="29"/>
    </row>
    <row r="126" spans="2:40">
      <c r="B126" s="25"/>
      <c r="C126" s="28"/>
      <c r="D126" s="26"/>
      <c r="E126" s="26"/>
      <c r="F126" s="26"/>
      <c r="G126" s="28"/>
      <c r="H126" s="36"/>
      <c r="I126" s="26"/>
      <c r="J126" s="26"/>
      <c r="K126" s="28"/>
      <c r="L126" s="36"/>
      <c r="M126" s="26"/>
      <c r="N126" s="26"/>
      <c r="O126" s="26"/>
      <c r="P126" s="28"/>
      <c r="Q126" s="26"/>
      <c r="R126" s="26"/>
      <c r="S126" s="26"/>
      <c r="T126" s="28"/>
      <c r="U126" s="26"/>
      <c r="V126" s="26"/>
      <c r="W126" s="26"/>
      <c r="X126" s="36"/>
      <c r="Y126" s="26"/>
      <c r="Z126" s="26"/>
      <c r="AA126" s="26"/>
      <c r="AB126" s="26"/>
      <c r="AC126" s="26"/>
      <c r="AD126" s="26"/>
      <c r="AE126" s="26"/>
      <c r="AF126" s="29"/>
      <c r="AH126" s="34"/>
      <c r="AI126" s="26"/>
      <c r="AJ126" s="26"/>
      <c r="AK126" s="26"/>
      <c r="AL126" s="26"/>
      <c r="AM126" s="26"/>
      <c r="AN126" s="29"/>
    </row>
    <row r="127" spans="2:40" ht="15.75" thickBot="1">
      <c r="B127" s="61"/>
      <c r="C127" s="63"/>
      <c r="D127" s="62"/>
      <c r="E127" s="62"/>
      <c r="F127" s="62"/>
      <c r="G127" s="63"/>
      <c r="H127" s="62"/>
      <c r="I127" s="62"/>
      <c r="J127" s="62"/>
      <c r="K127" s="63"/>
      <c r="L127" s="80"/>
      <c r="M127" s="62"/>
      <c r="N127" s="62"/>
      <c r="O127" s="62"/>
      <c r="P127" s="63"/>
      <c r="Q127" s="62"/>
      <c r="R127" s="62"/>
      <c r="S127" s="62"/>
      <c r="T127" s="63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4"/>
      <c r="AH127" s="61"/>
      <c r="AI127" s="62"/>
      <c r="AJ127" s="62"/>
      <c r="AK127" s="62"/>
      <c r="AL127" s="62"/>
      <c r="AM127" s="62"/>
      <c r="AN127" s="64"/>
    </row>
    <row r="128" spans="2:40">
      <c r="C128" s="12"/>
      <c r="O128" s="9"/>
      <c r="P128" s="12"/>
      <c r="AB128" s="9"/>
    </row>
    <row r="129" spans="2:40">
      <c r="C129" s="12"/>
      <c r="O129" s="9"/>
      <c r="P129" s="12"/>
      <c r="AB129" s="9"/>
    </row>
    <row r="130" spans="2:40">
      <c r="C130" s="12"/>
      <c r="O130" s="9"/>
      <c r="P130" s="12"/>
      <c r="AB130" s="9"/>
    </row>
    <row r="131" spans="2:40" ht="17.25">
      <c r="B131" s="362" t="s">
        <v>218</v>
      </c>
      <c r="C131" s="12"/>
      <c r="O131" s="9"/>
      <c r="P131" s="12"/>
      <c r="AB131" s="9"/>
    </row>
    <row r="132" spans="2:40" ht="21.75" thickBot="1">
      <c r="B132" s="7" t="s">
        <v>780</v>
      </c>
      <c r="C132" s="12"/>
      <c r="O132" s="9"/>
      <c r="P132" s="12"/>
      <c r="AB132" s="9"/>
    </row>
    <row r="133" spans="2:40">
      <c r="B133" s="68"/>
      <c r="C133" s="21"/>
      <c r="D133" s="19"/>
      <c r="E133" s="19"/>
      <c r="F133" s="19"/>
      <c r="G133" s="21"/>
      <c r="H133" s="19"/>
      <c r="I133" s="19"/>
      <c r="J133" s="19"/>
      <c r="K133" s="21"/>
      <c r="L133" s="19"/>
      <c r="M133" s="19"/>
      <c r="N133" s="19"/>
      <c r="O133" s="19"/>
      <c r="P133" s="21"/>
      <c r="Q133" s="19"/>
      <c r="R133" s="19"/>
      <c r="S133" s="19"/>
      <c r="T133" s="21"/>
      <c r="U133" s="19"/>
      <c r="V133" s="19"/>
      <c r="W133" s="19"/>
      <c r="X133" s="21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22"/>
    </row>
    <row r="134" spans="2:40">
      <c r="B134" s="34"/>
      <c r="C134" s="27" t="s">
        <v>191</v>
      </c>
      <c r="D134" s="26"/>
      <c r="E134" s="26"/>
      <c r="F134" s="26"/>
      <c r="G134" s="26"/>
      <c r="H134" s="26"/>
      <c r="I134" s="26"/>
      <c r="J134" s="28"/>
      <c r="K134" s="26"/>
      <c r="L134" s="26"/>
      <c r="M134" s="26"/>
      <c r="N134" s="28"/>
      <c r="O134" s="26"/>
      <c r="P134" s="26"/>
      <c r="Q134" s="28"/>
      <c r="R134" s="26"/>
      <c r="S134" s="26"/>
      <c r="T134" s="26"/>
      <c r="U134" s="28"/>
      <c r="V134" s="26"/>
      <c r="W134" s="26"/>
      <c r="X134" s="26"/>
      <c r="Y134" s="26"/>
      <c r="Z134" s="26"/>
      <c r="AA134" s="290" t="s">
        <v>655</v>
      </c>
      <c r="AB134" s="291"/>
      <c r="AC134" s="420">
        <v>1440</v>
      </c>
      <c r="AD134" s="293" t="s">
        <v>575</v>
      </c>
      <c r="AE134" s="26"/>
      <c r="AF134" s="26"/>
      <c r="AG134" s="26"/>
      <c r="AH134" s="26"/>
      <c r="AI134" s="26"/>
      <c r="AJ134" s="26"/>
      <c r="AK134" s="26"/>
      <c r="AL134" s="26"/>
      <c r="AM134" s="26"/>
      <c r="AN134" s="29"/>
    </row>
    <row r="135" spans="2:40">
      <c r="B135" s="34"/>
      <c r="C135" s="115"/>
      <c r="D135" s="114"/>
      <c r="E135" s="114"/>
      <c r="F135" s="140" t="s">
        <v>231</v>
      </c>
      <c r="G135" s="140"/>
      <c r="H135" s="140" t="s">
        <v>602</v>
      </c>
      <c r="I135" s="140"/>
      <c r="J135" s="70"/>
      <c r="K135" s="79"/>
      <c r="L135" s="79"/>
      <c r="M135" s="79"/>
      <c r="N135" s="70"/>
      <c r="O135" s="140" t="s">
        <v>233</v>
      </c>
      <c r="P135" s="140"/>
      <c r="Q135" s="140"/>
      <c r="R135" s="140"/>
      <c r="S135" s="140"/>
      <c r="T135" s="140"/>
      <c r="U135" s="140" t="s">
        <v>213</v>
      </c>
      <c r="V135" s="140" t="s">
        <v>234</v>
      </c>
      <c r="W135" s="116" t="s">
        <v>242</v>
      </c>
      <c r="X135" s="2"/>
      <c r="Y135" s="6"/>
      <c r="Z135" s="26"/>
      <c r="AA135" s="295" t="s">
        <v>656</v>
      </c>
      <c r="AB135" s="79"/>
      <c r="AC135" s="79"/>
      <c r="AD135" s="71"/>
      <c r="AE135" s="26"/>
      <c r="AF135" s="26"/>
      <c r="AG135" s="26"/>
      <c r="AH135" s="26"/>
      <c r="AI135" s="26"/>
      <c r="AJ135" s="26"/>
      <c r="AK135" s="26"/>
      <c r="AL135" s="26"/>
      <c r="AM135" s="26"/>
      <c r="AN135" s="29"/>
    </row>
    <row r="136" spans="2:40" ht="15.75" thickBot="1">
      <c r="B136" s="34"/>
      <c r="C136" s="141"/>
      <c r="D136" s="142"/>
      <c r="E136" s="142" t="s">
        <v>219</v>
      </c>
      <c r="F136" s="142" t="s">
        <v>239</v>
      </c>
      <c r="G136" s="142" t="s">
        <v>240</v>
      </c>
      <c r="H136" s="142" t="s">
        <v>593</v>
      </c>
      <c r="I136" s="142" t="s">
        <v>594</v>
      </c>
      <c r="J136" s="142" t="s">
        <v>595</v>
      </c>
      <c r="K136" s="142" t="s">
        <v>592</v>
      </c>
      <c r="L136" s="142" t="s">
        <v>596</v>
      </c>
      <c r="M136" s="142" t="s">
        <v>238</v>
      </c>
      <c r="N136" s="142" t="s">
        <v>598</v>
      </c>
      <c r="O136" s="142" t="s">
        <v>236</v>
      </c>
      <c r="P136" s="142" t="s">
        <v>237</v>
      </c>
      <c r="Q136" s="142" t="s">
        <v>197</v>
      </c>
      <c r="R136" s="142" t="s">
        <v>257</v>
      </c>
      <c r="S136" s="142" t="s">
        <v>238</v>
      </c>
      <c r="T136" s="142" t="s">
        <v>115</v>
      </c>
      <c r="U136" s="142" t="s">
        <v>239</v>
      </c>
      <c r="V136" s="142"/>
      <c r="W136" s="117"/>
      <c r="X136" s="2"/>
      <c r="Y136" s="27"/>
      <c r="Z136" s="26"/>
      <c r="AA136" s="413" t="s">
        <v>241</v>
      </c>
      <c r="AB136" s="294" t="s">
        <v>219</v>
      </c>
      <c r="AC136" s="417" t="s">
        <v>241</v>
      </c>
      <c r="AD136" s="297" t="s">
        <v>219</v>
      </c>
      <c r="AE136" s="26"/>
      <c r="AF136" s="26"/>
      <c r="AG136" s="26"/>
      <c r="AH136" s="26"/>
      <c r="AI136" s="26"/>
      <c r="AJ136" s="26"/>
      <c r="AK136" s="26"/>
      <c r="AL136" s="26"/>
      <c r="AM136" s="26"/>
      <c r="AN136" s="29"/>
    </row>
    <row r="137" spans="2:40" ht="17.25" thickTop="1">
      <c r="B137" s="34"/>
      <c r="C137" s="143" t="s">
        <v>220</v>
      </c>
      <c r="D137" s="2" t="s">
        <v>104</v>
      </c>
      <c r="E137" s="2" t="s">
        <v>110</v>
      </c>
      <c r="F137" s="28">
        <f>-G16</f>
        <v>-252</v>
      </c>
      <c r="G137" s="28">
        <f>-K18-K19</f>
        <v>-3129.2</v>
      </c>
      <c r="H137" s="28"/>
      <c r="I137" s="28">
        <f>-AI58</f>
        <v>-7575.5310076791266</v>
      </c>
      <c r="J137" s="28"/>
      <c r="K137" s="28">
        <f>AN59</f>
        <v>52105.583134938628</v>
      </c>
      <c r="L137" s="28">
        <f>-AT38</f>
        <v>-1060.0471664796466</v>
      </c>
      <c r="M137" s="28"/>
      <c r="N137" s="28"/>
      <c r="O137" s="28"/>
      <c r="P137" s="28"/>
      <c r="Q137" s="28">
        <f>-Q93</f>
        <v>-71.13600000000001</v>
      </c>
      <c r="R137" s="28"/>
      <c r="S137" s="28">
        <f>-M117</f>
        <v>-694.46758021379605</v>
      </c>
      <c r="T137" s="28">
        <f>Q110</f>
        <v>244520.51968770041</v>
      </c>
      <c r="U137" s="28">
        <f>-U117</f>
        <v>-563.50706724700183</v>
      </c>
      <c r="V137" s="28">
        <f>SUM(D137:U137)</f>
        <v>283280.21400101949</v>
      </c>
      <c r="W137" s="240">
        <f>V137/3.6*AC137*(O25/100)</f>
        <v>5737.7358159928726</v>
      </c>
      <c r="X137" s="26"/>
      <c r="Y137" s="26"/>
      <c r="Z137" s="26"/>
      <c r="AA137" s="414">
        <v>105</v>
      </c>
      <c r="AB137" s="26" t="s">
        <v>338</v>
      </c>
      <c r="AC137" s="418">
        <f t="shared" ref="AC137:AC142" si="17">AA137/$AC$134</f>
        <v>7.2916666666666671E-2</v>
      </c>
      <c r="AD137" s="75" t="s">
        <v>246</v>
      </c>
      <c r="AE137" s="26"/>
      <c r="AF137" s="26"/>
      <c r="AG137" s="26"/>
      <c r="AH137" s="26"/>
      <c r="AI137" s="26"/>
      <c r="AJ137" s="26"/>
      <c r="AK137" s="26"/>
      <c r="AL137" s="26"/>
      <c r="AM137" s="26"/>
      <c r="AN137" s="29"/>
    </row>
    <row r="138" spans="2:40">
      <c r="B138" s="34"/>
      <c r="C138" s="143"/>
      <c r="D138" s="2" t="s">
        <v>194</v>
      </c>
      <c r="E138" s="2" t="s">
        <v>110</v>
      </c>
      <c r="F138" s="28"/>
      <c r="G138" s="28"/>
      <c r="H138" s="28">
        <f>AI41</f>
        <v>247526.85454978215</v>
      </c>
      <c r="I138" s="28">
        <f>-AI51</f>
        <v>-20814.544540778206</v>
      </c>
      <c r="J138" s="28">
        <f>-AI68</f>
        <v>-24752.685454978215</v>
      </c>
      <c r="K138" s="28">
        <f>-AI72</f>
        <v>-201959.62455402571</v>
      </c>
      <c r="L138" s="28"/>
      <c r="M138" s="28"/>
      <c r="N138" s="28"/>
      <c r="O138" s="28">
        <f>-M94</f>
        <v>-597.79009627159678</v>
      </c>
      <c r="P138" s="28">
        <f>-I96</f>
        <v>-149.15555889630977</v>
      </c>
      <c r="Q138" s="28"/>
      <c r="R138" s="28"/>
      <c r="S138" s="28"/>
      <c r="T138" s="28">
        <f>Q112</f>
        <v>407534.19947950065</v>
      </c>
      <c r="U138" s="28"/>
      <c r="V138" s="28">
        <f t="shared" ref="V138:V144" si="18">SUM(D138:U138)</f>
        <v>406787.25382433273</v>
      </c>
      <c r="W138" s="230">
        <f t="shared" ref="W138" si="19">V138/3.6*AC138</f>
        <v>0</v>
      </c>
      <c r="X138" s="26"/>
      <c r="Y138" s="26"/>
      <c r="Z138" s="26"/>
      <c r="AA138" s="414"/>
      <c r="AB138" s="26"/>
      <c r="AC138" s="418">
        <f t="shared" si="17"/>
        <v>0</v>
      </c>
      <c r="AD138" s="75"/>
      <c r="AE138" s="26"/>
      <c r="AF138" s="26"/>
      <c r="AG138" s="26"/>
      <c r="AH138" s="26"/>
      <c r="AI138" s="26"/>
      <c r="AJ138" s="26"/>
      <c r="AK138" s="26"/>
      <c r="AL138" s="26"/>
      <c r="AM138" s="26"/>
      <c r="AN138" s="29"/>
    </row>
    <row r="139" spans="2:40">
      <c r="B139" s="34"/>
      <c r="C139" s="143" t="s">
        <v>221</v>
      </c>
      <c r="D139" s="2" t="s">
        <v>25</v>
      </c>
      <c r="E139" s="2" t="s">
        <v>255</v>
      </c>
      <c r="F139" s="28">
        <f>G10/1000</f>
        <v>20.209199999999999</v>
      </c>
      <c r="G139" s="28">
        <f>K13/1000</f>
        <v>20.597367999999999</v>
      </c>
      <c r="H139" s="28"/>
      <c r="I139" s="28"/>
      <c r="J139" s="28"/>
      <c r="K139" s="28"/>
      <c r="L139" s="28"/>
      <c r="M139" s="28"/>
      <c r="N139" s="28"/>
      <c r="O139" s="28"/>
      <c r="P139" s="6"/>
      <c r="Q139" s="28"/>
      <c r="R139" s="28">
        <f>-H107</f>
        <v>-1.1025337354675024</v>
      </c>
      <c r="S139" s="28"/>
      <c r="T139" s="28"/>
      <c r="U139" s="28"/>
      <c r="V139" s="28">
        <f t="shared" si="18"/>
        <v>39.704034264532496</v>
      </c>
      <c r="W139" s="230">
        <f>-V139*AC139</f>
        <v>-19.824444886249211</v>
      </c>
      <c r="X139" s="26"/>
      <c r="Y139" s="26"/>
      <c r="Z139" s="26"/>
      <c r="AA139" s="414">
        <v>719</v>
      </c>
      <c r="AB139" s="26" t="s">
        <v>243</v>
      </c>
      <c r="AC139" s="418">
        <f t="shared" si="17"/>
        <v>0.49930555555555556</v>
      </c>
      <c r="AD139" s="75" t="s">
        <v>247</v>
      </c>
      <c r="AE139" s="26"/>
      <c r="AF139" s="26"/>
      <c r="AG139" s="26"/>
      <c r="AH139" s="26"/>
      <c r="AI139" s="26"/>
      <c r="AJ139" s="26"/>
      <c r="AK139" s="26"/>
      <c r="AL139" s="26"/>
      <c r="AM139" s="26"/>
      <c r="AN139" s="29"/>
    </row>
    <row r="140" spans="2:40" ht="16.5">
      <c r="B140" s="34"/>
      <c r="C140" s="143"/>
      <c r="D140" s="2" t="s">
        <v>222</v>
      </c>
      <c r="E140" s="2" t="s">
        <v>13</v>
      </c>
      <c r="F140" s="28">
        <f>K48</f>
        <v>0</v>
      </c>
      <c r="G140" s="28">
        <f>K14</f>
        <v>51.49342</v>
      </c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>
        <f t="shared" si="18"/>
        <v>51.49342</v>
      </c>
      <c r="W140" s="230">
        <f t="shared" ref="W140:W148" si="20">-V140*AC140</f>
        <v>-20.978800740740741</v>
      </c>
      <c r="X140" s="26"/>
      <c r="Y140" s="26"/>
      <c r="Z140" s="26"/>
      <c r="AA140" s="414">
        <f>11000/18.75</f>
        <v>586.66666666666663</v>
      </c>
      <c r="AB140" s="113" t="s">
        <v>574</v>
      </c>
      <c r="AC140" s="418">
        <f t="shared" si="17"/>
        <v>0.40740740740740738</v>
      </c>
      <c r="AD140" s="75" t="s">
        <v>580</v>
      </c>
      <c r="AE140" s="26"/>
      <c r="AF140" s="26"/>
      <c r="AG140" s="26"/>
      <c r="AH140" s="26"/>
      <c r="AI140" s="26"/>
      <c r="AJ140" s="26"/>
      <c r="AK140" s="26"/>
      <c r="AL140" s="26"/>
      <c r="AM140" s="26"/>
      <c r="AN140" s="29"/>
    </row>
    <row r="141" spans="2:40" ht="16.5">
      <c r="B141" s="34"/>
      <c r="C141" s="143"/>
      <c r="D141" s="2" t="s">
        <v>224</v>
      </c>
      <c r="E141" s="2" t="s">
        <v>4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>
        <f>M108</f>
        <v>89.844603730178534</v>
      </c>
      <c r="T141" s="28"/>
      <c r="U141" s="28"/>
      <c r="V141" s="28">
        <f t="shared" si="18"/>
        <v>89.844603730178534</v>
      </c>
      <c r="W141" s="230">
        <f t="shared" si="20"/>
        <v>-164.65271475273693</v>
      </c>
      <c r="X141" s="26"/>
      <c r="Y141" s="26"/>
      <c r="Z141" s="26"/>
      <c r="AA141" s="414">
        <v>2639</v>
      </c>
      <c r="AB141" s="113" t="s">
        <v>573</v>
      </c>
      <c r="AC141" s="418">
        <f t="shared" si="17"/>
        <v>1.8326388888888889</v>
      </c>
      <c r="AD141" s="75" t="s">
        <v>248</v>
      </c>
      <c r="AE141" s="26"/>
      <c r="AF141" s="26"/>
      <c r="AG141" s="26"/>
      <c r="AH141" s="26"/>
      <c r="AI141" s="26"/>
      <c r="AJ141" s="26"/>
      <c r="AK141" s="26"/>
      <c r="AL141" s="26"/>
      <c r="AM141" s="26"/>
      <c r="AN141" s="29"/>
    </row>
    <row r="142" spans="2:40">
      <c r="B142" s="34"/>
      <c r="C142" s="74"/>
      <c r="D142" s="2" t="s">
        <v>560</v>
      </c>
      <c r="E142" s="2" t="s">
        <v>4</v>
      </c>
      <c r="F142" s="28"/>
      <c r="G142" s="28"/>
      <c r="H142" s="28"/>
      <c r="I142" s="28"/>
      <c r="J142" s="28"/>
      <c r="K142" s="28"/>
      <c r="L142" s="28"/>
      <c r="M142" s="28">
        <f>AT46</f>
        <v>7.4495103164642128E-3</v>
      </c>
      <c r="N142" s="28"/>
      <c r="O142" s="28"/>
      <c r="P142" s="28"/>
      <c r="Q142" s="28"/>
      <c r="R142" s="28"/>
      <c r="S142" s="28"/>
      <c r="T142" s="28"/>
      <c r="U142" s="28"/>
      <c r="V142" s="28">
        <f t="shared" si="18"/>
        <v>7.4495103164642128E-3</v>
      </c>
      <c r="W142" s="230">
        <f t="shared" si="20"/>
        <v>-1.1381196316820325E-2</v>
      </c>
      <c r="X142" s="26"/>
      <c r="Y142" s="26"/>
      <c r="Z142" s="26"/>
      <c r="AA142" s="414">
        <v>2200</v>
      </c>
      <c r="AB142" s="26" t="s">
        <v>244</v>
      </c>
      <c r="AC142" s="418">
        <f t="shared" si="17"/>
        <v>1.5277777777777777</v>
      </c>
      <c r="AD142" s="75" t="s">
        <v>248</v>
      </c>
      <c r="AE142" s="26"/>
      <c r="AF142" s="26"/>
      <c r="AG142" s="26"/>
      <c r="AH142" s="26"/>
      <c r="AI142" s="26"/>
      <c r="AJ142" s="26"/>
      <c r="AK142" s="26"/>
      <c r="AL142" s="26"/>
      <c r="AM142" s="26"/>
      <c r="AN142" s="29"/>
    </row>
    <row r="143" spans="2:40">
      <c r="B143" s="34"/>
      <c r="C143" s="74"/>
      <c r="D143" s="2" t="s">
        <v>614</v>
      </c>
      <c r="E143" s="26" t="s">
        <v>609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>
        <f>U112</f>
        <v>4.8846243423999995</v>
      </c>
      <c r="V143" s="28">
        <f t="shared" si="18"/>
        <v>4.8846243423999995</v>
      </c>
      <c r="W143" s="230">
        <f t="shared" si="20"/>
        <v>-6.8384740793599992</v>
      </c>
      <c r="X143" s="26"/>
      <c r="Y143" s="26"/>
      <c r="Z143" s="26"/>
      <c r="AA143" s="415"/>
      <c r="AB143" s="28"/>
      <c r="AC143" s="404">
        <v>1.4</v>
      </c>
      <c r="AD143" s="75" t="s">
        <v>607</v>
      </c>
      <c r="AE143" s="26"/>
      <c r="AF143" s="26"/>
      <c r="AG143" s="26"/>
      <c r="AH143" s="26"/>
      <c r="AI143" s="26"/>
      <c r="AJ143" s="26"/>
      <c r="AK143" s="26"/>
      <c r="AL143" s="26"/>
      <c r="AM143" s="26"/>
      <c r="AN143" s="29"/>
    </row>
    <row r="144" spans="2:40" ht="16.5">
      <c r="B144" s="34"/>
      <c r="C144" s="74"/>
      <c r="D144" s="2" t="s">
        <v>615</v>
      </c>
      <c r="E144" s="7" t="s">
        <v>609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>
        <f>U113</f>
        <v>3.6634682567999999</v>
      </c>
      <c r="V144" s="28">
        <f t="shared" si="18"/>
        <v>3.6634682567999999</v>
      </c>
      <c r="W144" s="230">
        <f t="shared" si="20"/>
        <v>-0.8792323816319999</v>
      </c>
      <c r="X144" s="26"/>
      <c r="Y144" s="26"/>
      <c r="Z144" s="26"/>
      <c r="AA144" s="415"/>
      <c r="AB144" s="28"/>
      <c r="AC144" s="418">
        <f>(0.18+0.3)/2</f>
        <v>0.24</v>
      </c>
      <c r="AD144" s="75" t="s">
        <v>607</v>
      </c>
      <c r="AE144" s="26"/>
      <c r="AF144" s="26"/>
      <c r="AG144" s="26"/>
      <c r="AH144" s="26"/>
      <c r="AI144" s="26"/>
      <c r="AJ144" s="26"/>
      <c r="AK144" s="26"/>
      <c r="AL144" s="26"/>
      <c r="AM144" s="26"/>
      <c r="AN144" s="29"/>
    </row>
    <row r="145" spans="2:40">
      <c r="B145" s="34"/>
      <c r="C145" s="143" t="s">
        <v>225</v>
      </c>
      <c r="D145" s="2" t="s">
        <v>226</v>
      </c>
      <c r="E145" s="2" t="s">
        <v>256</v>
      </c>
      <c r="F145" s="28"/>
      <c r="G145" s="28"/>
      <c r="H145" s="28">
        <f>AF43</f>
        <v>0</v>
      </c>
      <c r="I145" s="28"/>
      <c r="J145" s="28"/>
      <c r="K145" s="28"/>
      <c r="L145" s="28"/>
      <c r="M145" s="28"/>
      <c r="N145" s="28">
        <f>AU52</f>
        <v>1.1546371365760002</v>
      </c>
      <c r="O145" s="28">
        <f>S124</f>
        <v>0</v>
      </c>
      <c r="P145" s="28"/>
      <c r="Q145" s="28"/>
      <c r="R145" s="28"/>
      <c r="S145" s="28"/>
      <c r="T145" s="28"/>
      <c r="U145" s="28">
        <f>U124</f>
        <v>1.7546320000000029</v>
      </c>
      <c r="V145" s="28">
        <f>SUM(D145:U145)</f>
        <v>2.9092691365760031</v>
      </c>
      <c r="W145" s="230">
        <f t="shared" si="20"/>
        <v>-222.23583682177801</v>
      </c>
      <c r="X145" s="26"/>
      <c r="Y145" s="26"/>
      <c r="Z145" s="26"/>
      <c r="AA145" s="414">
        <v>110000</v>
      </c>
      <c r="AB145" s="26" t="s">
        <v>245</v>
      </c>
      <c r="AC145" s="418">
        <f>AA145/$AC$134</f>
        <v>76.388888888888886</v>
      </c>
      <c r="AD145" s="75" t="s">
        <v>249</v>
      </c>
      <c r="AE145" s="26"/>
      <c r="AF145" s="26"/>
      <c r="AG145" s="26"/>
      <c r="AH145" s="26"/>
      <c r="AI145" s="26"/>
      <c r="AJ145" s="26"/>
      <c r="AK145" s="26"/>
      <c r="AL145" s="26"/>
      <c r="AM145" s="26"/>
      <c r="AN145" s="29"/>
    </row>
    <row r="146" spans="2:40">
      <c r="B146" s="34"/>
      <c r="C146" s="143"/>
      <c r="D146" s="2" t="s">
        <v>227</v>
      </c>
      <c r="E146" s="2" t="s">
        <v>256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>
        <f>U116</f>
        <v>68.528837211700818</v>
      </c>
      <c r="V146" s="28">
        <f>SUM(D146:U146)</f>
        <v>68.528837211700818</v>
      </c>
      <c r="W146" s="230">
        <f t="shared" si="20"/>
        <v>-5234.8417314493681</v>
      </c>
      <c r="X146" s="26"/>
      <c r="Y146" s="26"/>
      <c r="Z146" s="28"/>
      <c r="AA146" s="414">
        <v>110000</v>
      </c>
      <c r="AB146" s="26" t="s">
        <v>245</v>
      </c>
      <c r="AC146" s="418">
        <f>AA146/$AC$134</f>
        <v>76.388888888888886</v>
      </c>
      <c r="AD146" s="75" t="s">
        <v>249</v>
      </c>
      <c r="AE146" s="26"/>
      <c r="AF146" s="26"/>
      <c r="AG146" s="26"/>
      <c r="AH146" s="26"/>
      <c r="AI146" s="26"/>
      <c r="AJ146" s="26"/>
      <c r="AK146" s="26"/>
      <c r="AL146" s="26"/>
      <c r="AM146" s="26"/>
      <c r="AN146" s="29"/>
    </row>
    <row r="147" spans="2:40">
      <c r="B147" s="34"/>
      <c r="C147" s="143"/>
      <c r="D147" s="2" t="s">
        <v>597</v>
      </c>
      <c r="E147" s="2" t="s">
        <v>256</v>
      </c>
      <c r="F147" s="28"/>
      <c r="G147" s="28"/>
      <c r="H147" s="28"/>
      <c r="I147" s="28"/>
      <c r="J147" s="28"/>
      <c r="K147" s="28"/>
      <c r="L147" s="28"/>
      <c r="M147" s="28"/>
      <c r="N147" s="28">
        <f>AU51</f>
        <v>8.367872832704E-2</v>
      </c>
      <c r="O147" s="28"/>
      <c r="P147" s="28"/>
      <c r="Q147" s="28"/>
      <c r="R147" s="28"/>
      <c r="S147" s="28"/>
      <c r="T147" s="28"/>
      <c r="U147" s="28"/>
      <c r="V147" s="28">
        <f>SUM(D147:U147)</f>
        <v>8.367872832704E-2</v>
      </c>
      <c r="W147" s="230">
        <f t="shared" si="20"/>
        <v>-6.3921250805377774</v>
      </c>
      <c r="X147" s="26"/>
      <c r="Y147" s="26"/>
      <c r="Z147" s="28"/>
      <c r="AA147" s="414">
        <v>110000</v>
      </c>
      <c r="AB147" s="26" t="s">
        <v>245</v>
      </c>
      <c r="AC147" s="418">
        <f>AA147/$AC$134</f>
        <v>76.388888888888886</v>
      </c>
      <c r="AD147" s="75" t="s">
        <v>249</v>
      </c>
      <c r="AE147" s="26"/>
      <c r="AF147" s="26"/>
      <c r="AG147" s="26"/>
      <c r="AH147" s="26"/>
      <c r="AI147" s="26"/>
      <c r="AJ147" s="26"/>
      <c r="AK147" s="26"/>
      <c r="AL147" s="26"/>
      <c r="AM147" s="26"/>
      <c r="AN147" s="29"/>
    </row>
    <row r="148" spans="2:40">
      <c r="B148" s="34"/>
      <c r="C148" s="144"/>
      <c r="D148" s="145" t="s">
        <v>228</v>
      </c>
      <c r="E148" s="145" t="s">
        <v>255</v>
      </c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>
        <f>U120</f>
        <v>41.375210492299175</v>
      </c>
      <c r="V148" s="77">
        <f>SUM(D148:U148)</f>
        <v>41.375210492299175</v>
      </c>
      <c r="W148" s="231">
        <f t="shared" si="20"/>
        <v>-7.987714247818869</v>
      </c>
      <c r="X148" s="26"/>
      <c r="Y148" s="26"/>
      <c r="Z148" s="26"/>
      <c r="AA148" s="416">
        <v>278</v>
      </c>
      <c r="AB148" s="81" t="s">
        <v>243</v>
      </c>
      <c r="AC148" s="419">
        <f>AA148/$AC$134</f>
        <v>0.19305555555555556</v>
      </c>
      <c r="AD148" s="78" t="s">
        <v>247</v>
      </c>
      <c r="AE148" s="26"/>
      <c r="AF148" s="26"/>
      <c r="AG148" s="26"/>
      <c r="AH148" s="26"/>
      <c r="AI148" s="26"/>
      <c r="AJ148" s="26"/>
      <c r="AK148" s="26"/>
      <c r="AL148" s="26"/>
      <c r="AM148" s="26"/>
      <c r="AN148" s="29"/>
    </row>
    <row r="149" spans="2:40">
      <c r="B149" s="34"/>
      <c r="C149" s="26"/>
      <c r="D149" s="26"/>
      <c r="E149" s="26"/>
      <c r="F149" s="26"/>
      <c r="G149" s="28"/>
      <c r="H149" s="26"/>
      <c r="I149" s="28"/>
      <c r="J149" s="28"/>
      <c r="K149" s="26"/>
      <c r="L149" s="26"/>
      <c r="M149" s="26"/>
      <c r="N149" s="28"/>
      <c r="O149" s="26"/>
      <c r="P149" s="26"/>
      <c r="Q149" s="26"/>
      <c r="R149" s="28"/>
      <c r="S149" s="26"/>
      <c r="T149" s="27" t="s">
        <v>616</v>
      </c>
      <c r="U149" s="27" t="s">
        <v>104</v>
      </c>
      <c r="V149" s="27">
        <f>V137</f>
        <v>283280.21400101949</v>
      </c>
      <c r="W149" s="27" t="s">
        <v>110</v>
      </c>
      <c r="X149" s="28"/>
      <c r="Y149" s="26"/>
      <c r="Z149" s="26"/>
      <c r="AA149" s="26"/>
      <c r="AB149" s="6">
        <f>V149/($C$7+$C$10)*1000</f>
        <v>3157.5216683871272</v>
      </c>
      <c r="AC149" s="27" t="s">
        <v>781</v>
      </c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9"/>
    </row>
    <row r="150" spans="2:40">
      <c r="B150" s="34"/>
      <c r="C150" s="26"/>
      <c r="D150" s="26"/>
      <c r="E150" s="26"/>
      <c r="F150" s="26"/>
      <c r="G150" s="28"/>
      <c r="H150" s="26"/>
      <c r="I150" s="26"/>
      <c r="J150" s="26"/>
      <c r="K150" s="28"/>
      <c r="L150" s="26"/>
      <c r="M150" s="26"/>
      <c r="N150" s="26"/>
      <c r="O150" s="28"/>
      <c r="P150" s="26"/>
      <c r="Q150" s="26"/>
      <c r="R150" s="26"/>
      <c r="S150" s="26"/>
      <c r="T150" s="27"/>
      <c r="U150" s="27"/>
      <c r="V150" s="6">
        <f>V149/1000</f>
        <v>283.28021400101949</v>
      </c>
      <c r="W150" s="27" t="s">
        <v>733</v>
      </c>
      <c r="X150" s="28"/>
      <c r="Y150" s="26"/>
      <c r="Z150" s="26"/>
      <c r="AA150" s="26"/>
      <c r="AB150" s="6">
        <f t="shared" ref="AB150:AB154" si="21">V150/($C$7+$C$10)*1000</f>
        <v>3.157521668387127</v>
      </c>
      <c r="AC150" s="27" t="s">
        <v>783</v>
      </c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9"/>
    </row>
    <row r="151" spans="2:40">
      <c r="B151" s="34"/>
      <c r="C151" s="26"/>
      <c r="D151" s="26"/>
      <c r="E151" s="26"/>
      <c r="F151" s="26"/>
      <c r="G151" s="28"/>
      <c r="H151" s="26"/>
      <c r="I151" s="26"/>
      <c r="J151" s="26"/>
      <c r="K151" s="28"/>
      <c r="L151" s="26"/>
      <c r="M151" s="26"/>
      <c r="N151" s="26"/>
      <c r="O151" s="28"/>
      <c r="P151" s="26"/>
      <c r="Q151" s="26"/>
      <c r="R151" s="26"/>
      <c r="S151" s="26"/>
      <c r="T151" s="27"/>
      <c r="U151" s="27" t="s">
        <v>194</v>
      </c>
      <c r="V151" s="27">
        <f>V138</f>
        <v>406787.25382433273</v>
      </c>
      <c r="W151" s="27" t="s">
        <v>110</v>
      </c>
      <c r="X151" s="28"/>
      <c r="Y151" s="26"/>
      <c r="Z151" s="26"/>
      <c r="AA151" s="26"/>
      <c r="AB151" s="6">
        <f t="shared" si="21"/>
        <v>4534.1661891338526</v>
      </c>
      <c r="AC151" s="27" t="s">
        <v>781</v>
      </c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9"/>
    </row>
    <row r="152" spans="2:40">
      <c r="B152" s="34"/>
      <c r="C152" s="26"/>
      <c r="D152" s="26"/>
      <c r="E152" s="26"/>
      <c r="F152" s="26"/>
      <c r="G152" s="28"/>
      <c r="H152" s="26"/>
      <c r="I152" s="26"/>
      <c r="J152" s="26"/>
      <c r="K152" s="28"/>
      <c r="L152" s="26"/>
      <c r="M152" s="26"/>
      <c r="N152" s="26"/>
      <c r="O152" s="28"/>
      <c r="P152" s="26"/>
      <c r="Q152" s="26"/>
      <c r="R152" s="26"/>
      <c r="S152" s="26"/>
      <c r="T152" s="27"/>
      <c r="U152" s="27"/>
      <c r="V152" s="6">
        <f>V151/1000</f>
        <v>406.78725382433271</v>
      </c>
      <c r="W152" s="27" t="s">
        <v>733</v>
      </c>
      <c r="X152" s="28"/>
      <c r="Y152" s="26"/>
      <c r="Z152" s="26"/>
      <c r="AA152" s="26"/>
      <c r="AB152" s="6">
        <f t="shared" si="21"/>
        <v>4.5341661891338525</v>
      </c>
      <c r="AC152" s="27" t="s">
        <v>783</v>
      </c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9"/>
    </row>
    <row r="153" spans="2:40">
      <c r="B153" s="34"/>
      <c r="C153" s="26"/>
      <c r="D153" s="26"/>
      <c r="E153" s="26"/>
      <c r="F153" s="26"/>
      <c r="G153" s="28"/>
      <c r="H153" s="26"/>
      <c r="I153" s="26"/>
      <c r="J153" s="26"/>
      <c r="K153" s="28"/>
      <c r="L153" s="26"/>
      <c r="M153" s="26"/>
      <c r="N153" s="26"/>
      <c r="O153" s="28"/>
      <c r="P153" s="26"/>
      <c r="Q153" s="26"/>
      <c r="R153" s="26"/>
      <c r="S153" s="26"/>
      <c r="T153" s="27"/>
      <c r="U153" s="6" t="s">
        <v>732</v>
      </c>
      <c r="V153" s="27">
        <f>SUM(V149,V151)</f>
        <v>690067.46782535221</v>
      </c>
      <c r="W153" s="27" t="s">
        <v>110</v>
      </c>
      <c r="X153" s="28"/>
      <c r="Y153" s="26"/>
      <c r="Z153" s="26"/>
      <c r="AA153" s="26"/>
      <c r="AB153" s="6">
        <f t="shared" si="21"/>
        <v>7691.6878575209794</v>
      </c>
      <c r="AC153" s="27" t="s">
        <v>781</v>
      </c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9"/>
    </row>
    <row r="154" spans="2:40">
      <c r="B154" s="34"/>
      <c r="C154" s="26"/>
      <c r="D154" s="26"/>
      <c r="E154" s="26"/>
      <c r="F154" s="26"/>
      <c r="G154" s="28"/>
      <c r="H154" s="26"/>
      <c r="I154" s="26"/>
      <c r="J154" s="26"/>
      <c r="K154" s="28"/>
      <c r="L154" s="26"/>
      <c r="M154" s="26"/>
      <c r="N154" s="26"/>
      <c r="O154" s="28"/>
      <c r="P154" s="26"/>
      <c r="Q154" s="26"/>
      <c r="R154" s="26"/>
      <c r="S154" s="26"/>
      <c r="T154" s="27"/>
      <c r="U154" s="27"/>
      <c r="V154" s="6">
        <f>SUM(V150,V152)</f>
        <v>690.0674678253522</v>
      </c>
      <c r="W154" s="27" t="s">
        <v>733</v>
      </c>
      <c r="X154" s="28"/>
      <c r="Y154" s="26"/>
      <c r="Z154" s="26"/>
      <c r="AA154" s="26"/>
      <c r="AB154" s="6">
        <f t="shared" si="21"/>
        <v>7.6916878575209795</v>
      </c>
      <c r="AC154" s="27" t="s">
        <v>783</v>
      </c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9"/>
    </row>
    <row r="155" spans="2:40" ht="15.75" thickBot="1">
      <c r="B155" s="61"/>
      <c r="C155" s="62"/>
      <c r="D155" s="62"/>
      <c r="E155" s="62"/>
      <c r="F155" s="62"/>
      <c r="G155" s="63"/>
      <c r="H155" s="62"/>
      <c r="I155" s="62"/>
      <c r="J155" s="62"/>
      <c r="K155" s="63"/>
      <c r="L155" s="62"/>
      <c r="M155" s="62"/>
      <c r="N155" s="62"/>
      <c r="O155" s="63"/>
      <c r="P155" s="62"/>
      <c r="Q155" s="62"/>
      <c r="R155" s="62"/>
      <c r="S155" s="62"/>
      <c r="T155" s="241" t="s">
        <v>618</v>
      </c>
      <c r="U155" s="241"/>
      <c r="V155" s="241">
        <f>SUM(W137:W148)</f>
        <v>53.093360356334628</v>
      </c>
      <c r="W155" s="241" t="s">
        <v>254</v>
      </c>
      <c r="X155" s="63"/>
      <c r="Y155" s="62"/>
      <c r="Z155" s="62"/>
      <c r="AA155" s="62"/>
      <c r="AB155" s="366">
        <f>V155/($C$7+$C$10)*1000</f>
        <v>0.59179366396556499</v>
      </c>
      <c r="AC155" s="241" t="s">
        <v>249</v>
      </c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4"/>
    </row>
    <row r="156" spans="2:40">
      <c r="B156" s="26"/>
      <c r="C156" s="27"/>
      <c r="D156" s="27"/>
      <c r="E156" s="2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6"/>
      <c r="R156" s="26"/>
      <c r="S156" s="28"/>
      <c r="T156" s="26"/>
      <c r="U156" s="28"/>
      <c r="V156" s="26"/>
      <c r="W156" s="28"/>
      <c r="X156" s="26"/>
      <c r="Y156" s="26"/>
      <c r="Z156" s="26"/>
      <c r="AA156" s="26"/>
    </row>
    <row r="157" spans="2:40" ht="20.25">
      <c r="B157" s="360" t="s">
        <v>779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7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2:40">
      <c r="B158" s="9" t="s">
        <v>775</v>
      </c>
      <c r="C158" s="2"/>
      <c r="D158" s="2"/>
      <c r="E158" s="2"/>
      <c r="F158" s="28"/>
      <c r="G158" s="28"/>
      <c r="H158" s="28"/>
      <c r="I158" s="28"/>
      <c r="J158" s="28"/>
      <c r="K158" s="28"/>
      <c r="L158" s="28"/>
      <c r="M158" s="28"/>
      <c r="N158" s="32"/>
      <c r="O158" s="32"/>
      <c r="P158" s="32"/>
      <c r="Q158" s="32"/>
      <c r="R158" s="33"/>
      <c r="S158" s="187"/>
      <c r="T158" s="232"/>
      <c r="U158" s="97"/>
      <c r="V158" s="26"/>
      <c r="W158" s="26"/>
      <c r="X158" s="26"/>
      <c r="Y158" s="26"/>
      <c r="Z158" s="26"/>
      <c r="AA158" s="26"/>
    </row>
    <row r="159" spans="2:40">
      <c r="C159" s="2"/>
      <c r="D159" s="2"/>
      <c r="E159" s="2"/>
      <c r="F159" s="28"/>
      <c r="G159" s="28"/>
      <c r="H159" s="28"/>
      <c r="I159" s="28"/>
      <c r="J159" s="28"/>
      <c r="K159" s="28"/>
      <c r="L159" s="28"/>
      <c r="M159" s="28"/>
      <c r="N159" s="32"/>
      <c r="O159" s="32"/>
      <c r="P159" s="32"/>
      <c r="Q159" s="32"/>
      <c r="R159" s="33"/>
      <c r="S159" s="187"/>
      <c r="T159" s="232"/>
      <c r="U159" s="97"/>
      <c r="V159" s="26"/>
      <c r="W159" s="187"/>
      <c r="X159" s="232"/>
      <c r="Y159" s="26"/>
      <c r="Z159" s="26"/>
      <c r="AA159" s="26"/>
    </row>
    <row r="160" spans="2:40" ht="15.75" thickBot="1">
      <c r="B160" s="4" t="s">
        <v>776</v>
      </c>
      <c r="C160" s="2"/>
      <c r="D160" s="2"/>
      <c r="E160" s="2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6"/>
      <c r="S160" s="28"/>
      <c r="T160" s="26"/>
      <c r="U160" s="97"/>
      <c r="V160" s="26"/>
      <c r="W160" s="26"/>
      <c r="X160" s="26"/>
      <c r="Y160" s="26"/>
      <c r="Z160" s="26"/>
      <c r="AA160" s="26"/>
    </row>
    <row r="161" spans="2:40">
      <c r="B161" s="68"/>
      <c r="C161" s="21"/>
      <c r="D161" s="19"/>
      <c r="E161" s="19"/>
      <c r="F161" s="19"/>
      <c r="G161" s="21"/>
      <c r="H161" s="19"/>
      <c r="I161" s="19"/>
      <c r="J161" s="19"/>
      <c r="K161" s="21"/>
      <c r="L161" s="19"/>
      <c r="M161" s="19"/>
      <c r="N161" s="19"/>
      <c r="O161" s="19"/>
      <c r="P161" s="21"/>
      <c r="Q161" s="19"/>
      <c r="R161" s="19"/>
      <c r="S161" s="19"/>
      <c r="T161" s="21"/>
      <c r="U161" s="19"/>
      <c r="V161" s="19"/>
      <c r="W161" s="19"/>
      <c r="X161" s="21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22"/>
    </row>
    <row r="162" spans="2:40">
      <c r="B162" s="34"/>
      <c r="C162" s="27" t="s">
        <v>191</v>
      </c>
      <c r="D162" s="26"/>
      <c r="E162" s="26"/>
      <c r="F162" s="26" t="s">
        <v>784</v>
      </c>
      <c r="G162" s="26"/>
      <c r="H162" s="26"/>
      <c r="I162" s="26"/>
      <c r="J162" s="28"/>
      <c r="K162" s="26"/>
      <c r="L162" s="26"/>
      <c r="M162" s="26"/>
      <c r="N162" s="28"/>
      <c r="O162" s="26" t="s">
        <v>786</v>
      </c>
      <c r="P162" s="26"/>
      <c r="Q162" s="28"/>
      <c r="R162" s="26"/>
      <c r="S162" s="26"/>
      <c r="T162" s="26"/>
      <c r="U162" s="28"/>
      <c r="V162" s="26"/>
      <c r="W162" s="26"/>
      <c r="X162" s="26"/>
      <c r="Y162" s="26"/>
      <c r="Z162" s="26"/>
      <c r="AA162" s="290" t="s">
        <v>212</v>
      </c>
      <c r="AB162" s="291"/>
      <c r="AC162" s="292">
        <v>1440</v>
      </c>
      <c r="AD162" s="293" t="s">
        <v>575</v>
      </c>
      <c r="AE162" s="26"/>
      <c r="AF162" s="26"/>
      <c r="AG162" s="26"/>
      <c r="AH162" s="26"/>
      <c r="AI162" s="26"/>
      <c r="AJ162" s="26"/>
      <c r="AK162" s="26"/>
      <c r="AL162" s="26"/>
      <c r="AM162" s="26"/>
      <c r="AN162" s="29"/>
    </row>
    <row r="163" spans="2:40">
      <c r="B163" s="34"/>
      <c r="C163" s="115"/>
      <c r="D163" s="114"/>
      <c r="E163" s="114"/>
      <c r="F163" s="140" t="s">
        <v>231</v>
      </c>
      <c r="G163" s="140"/>
      <c r="H163" s="140" t="s">
        <v>602</v>
      </c>
      <c r="I163" s="140"/>
      <c r="J163" s="70"/>
      <c r="K163" s="79"/>
      <c r="L163" s="79"/>
      <c r="M163" s="79"/>
      <c r="N163" s="70"/>
      <c r="O163" s="140" t="s">
        <v>233</v>
      </c>
      <c r="P163" s="140"/>
      <c r="Q163" s="140"/>
      <c r="R163" s="140"/>
      <c r="S163" s="140"/>
      <c r="T163" s="140"/>
      <c r="U163" s="140" t="s">
        <v>213</v>
      </c>
      <c r="V163" s="140" t="s">
        <v>234</v>
      </c>
      <c r="W163" s="116" t="s">
        <v>242</v>
      </c>
      <c r="X163" s="2"/>
      <c r="Y163" s="6"/>
      <c r="Z163" s="26"/>
      <c r="AA163" s="295" t="s">
        <v>656</v>
      </c>
      <c r="AB163" s="79"/>
      <c r="AC163" s="79"/>
      <c r="AD163" s="71"/>
      <c r="AE163" s="26"/>
      <c r="AF163" s="26"/>
      <c r="AG163" s="26"/>
      <c r="AH163" s="26"/>
      <c r="AI163" s="26"/>
      <c r="AJ163" s="26"/>
      <c r="AK163" s="26"/>
      <c r="AL163" s="26"/>
      <c r="AM163" s="26"/>
      <c r="AN163" s="29"/>
    </row>
    <row r="164" spans="2:40" ht="15.75" thickBot="1">
      <c r="B164" s="34"/>
      <c r="C164" s="141"/>
      <c r="D164" s="142"/>
      <c r="E164" s="142" t="s">
        <v>219</v>
      </c>
      <c r="F164" s="142" t="s">
        <v>239</v>
      </c>
      <c r="G164" s="142" t="s">
        <v>240</v>
      </c>
      <c r="H164" s="142" t="s">
        <v>593</v>
      </c>
      <c r="I164" s="142" t="s">
        <v>594</v>
      </c>
      <c r="J164" s="142" t="s">
        <v>595</v>
      </c>
      <c r="K164" s="142" t="s">
        <v>592</v>
      </c>
      <c r="L164" s="142" t="s">
        <v>596</v>
      </c>
      <c r="M164" s="142" t="s">
        <v>238</v>
      </c>
      <c r="N164" s="142" t="s">
        <v>598</v>
      </c>
      <c r="O164" s="142" t="s">
        <v>236</v>
      </c>
      <c r="P164" s="142" t="s">
        <v>237</v>
      </c>
      <c r="Q164" s="142" t="s">
        <v>197</v>
      </c>
      <c r="R164" s="142" t="s">
        <v>257</v>
      </c>
      <c r="S164" s="142" t="s">
        <v>238</v>
      </c>
      <c r="T164" s="142" t="s">
        <v>115</v>
      </c>
      <c r="U164" s="142" t="s">
        <v>239</v>
      </c>
      <c r="V164" s="142"/>
      <c r="W164" s="117"/>
      <c r="X164" s="2"/>
      <c r="Y164" s="27"/>
      <c r="Z164" s="26"/>
      <c r="AA164" s="413" t="s">
        <v>241</v>
      </c>
      <c r="AB164" s="294" t="s">
        <v>219</v>
      </c>
      <c r="AC164" s="417" t="s">
        <v>241</v>
      </c>
      <c r="AD164" s="297" t="s">
        <v>219</v>
      </c>
      <c r="AE164" s="26"/>
      <c r="AF164" s="26"/>
      <c r="AG164" s="26"/>
      <c r="AH164" s="26"/>
      <c r="AI164" s="26"/>
      <c r="AJ164" s="26"/>
      <c r="AK164" s="26"/>
      <c r="AL164" s="26"/>
      <c r="AM164" s="26"/>
      <c r="AN164" s="29"/>
    </row>
    <row r="165" spans="2:40" ht="17.25" thickTop="1">
      <c r="B165" s="34"/>
      <c r="C165" s="143" t="s">
        <v>220</v>
      </c>
      <c r="D165" s="2" t="s">
        <v>104</v>
      </c>
      <c r="E165" s="2" t="s">
        <v>781</v>
      </c>
      <c r="F165" s="28">
        <f>-F137/(C7+C10)*C9*1000</f>
        <v>0.69980513518862453</v>
      </c>
      <c r="G165" s="28">
        <f>(-K18-K19)/(C7+C10)*C9*1000</f>
        <v>-8.6898024961596985</v>
      </c>
      <c r="H165" s="28"/>
      <c r="I165" s="28">
        <f>-AI58/O8*1000*(1-O16)</f>
        <v>-367.41390259459024</v>
      </c>
      <c r="J165" s="28"/>
      <c r="K165" s="28">
        <f>AN59/(O8+O10)*1000*(1-O16)</f>
        <v>2524.5326961627593</v>
      </c>
      <c r="L165" s="28">
        <f>-AT38/(O8+O10)*1000*(1-O16)</f>
        <v>-51.359634999615245</v>
      </c>
      <c r="M165" s="28"/>
      <c r="N165" s="28"/>
      <c r="O165" s="28"/>
      <c r="P165" s="28"/>
      <c r="Q165" s="28">
        <f>-Q93/(G65+G63)*G68*1000</f>
        <v>-3.063502256286681E-2</v>
      </c>
      <c r="R165" s="28"/>
      <c r="S165" s="28"/>
      <c r="T165" s="28"/>
      <c r="U165" s="28"/>
      <c r="V165" s="28">
        <f>SUM(D165:U165)</f>
        <v>2097.73852618502</v>
      </c>
      <c r="W165" s="240">
        <f>V165/3.6*AC165*(O25/100)</f>
        <v>42.4889169076827</v>
      </c>
      <c r="X165" s="26"/>
      <c r="Y165" s="26"/>
      <c r="Z165" s="26"/>
      <c r="AA165" s="414">
        <v>105</v>
      </c>
      <c r="AB165" s="26" t="s">
        <v>338</v>
      </c>
      <c r="AC165" s="418">
        <f t="shared" ref="AC165:AC170" si="22">AA165/$AC$134</f>
        <v>7.2916666666666671E-2</v>
      </c>
      <c r="AD165" s="75" t="s">
        <v>246</v>
      </c>
      <c r="AE165" s="26"/>
      <c r="AF165" s="26"/>
      <c r="AG165" s="26"/>
      <c r="AH165" s="26"/>
      <c r="AI165" s="26"/>
      <c r="AJ165" s="26"/>
      <c r="AK165" s="26"/>
      <c r="AL165" s="26"/>
      <c r="AM165" s="26"/>
      <c r="AN165" s="29"/>
    </row>
    <row r="166" spans="2:40">
      <c r="B166" s="34"/>
      <c r="C166" s="143"/>
      <c r="D166" s="2" t="s">
        <v>194</v>
      </c>
      <c r="E166" s="2" t="s">
        <v>781</v>
      </c>
      <c r="F166" s="28"/>
      <c r="G166" s="28"/>
      <c r="H166" s="28">
        <f>AI41/(O8+O10)*1000*(1-O16)</f>
        <v>11992.757779352789</v>
      </c>
      <c r="I166" s="28">
        <f>-AI51/(O8+O10)*1000*(1-O16)</f>
        <v>-1008.4715511742548</v>
      </c>
      <c r="J166" s="28">
        <f>-AI68/(O8+O10)*1000*(1-O16)</f>
        <v>-1199.2757779352789</v>
      </c>
      <c r="K166" s="28">
        <f>-AI72/(O8+O10)*1000*(1-O16)</f>
        <v>-9785.0104502432532</v>
      </c>
      <c r="L166" s="28"/>
      <c r="M166" s="28"/>
      <c r="N166" s="28"/>
      <c r="O166" s="28">
        <f>-M94/(G65+G63)*G68*1000</f>
        <v>-0.25744086098654245</v>
      </c>
      <c r="P166" s="28">
        <f>-I96/(G65+G63)*G68*1000</f>
        <v>-6.4234479197107772E-2</v>
      </c>
      <c r="Q166" s="28"/>
      <c r="R166" s="28"/>
      <c r="S166" s="28"/>
      <c r="T166" s="28"/>
      <c r="U166" s="28"/>
      <c r="V166" s="28">
        <f t="shared" ref="V166:V172" si="23">SUM(D166:U166)</f>
        <v>-0.32167534018183125</v>
      </c>
      <c r="W166" s="230">
        <f t="shared" ref="W166" si="24">V166/3.6*AC166</f>
        <v>0</v>
      </c>
      <c r="X166" s="26"/>
      <c r="Y166" s="26"/>
      <c r="Z166" s="26"/>
      <c r="AA166" s="414"/>
      <c r="AB166" s="26"/>
      <c r="AC166" s="418">
        <f t="shared" si="22"/>
        <v>0</v>
      </c>
      <c r="AD166" s="75"/>
      <c r="AE166" s="26"/>
      <c r="AF166" s="26"/>
      <c r="AG166" s="26"/>
      <c r="AH166" s="26"/>
      <c r="AI166" s="26"/>
      <c r="AJ166" s="26"/>
      <c r="AK166" s="26"/>
      <c r="AL166" s="26"/>
      <c r="AM166" s="26"/>
      <c r="AN166" s="29"/>
    </row>
    <row r="167" spans="2:40">
      <c r="B167" s="34"/>
      <c r="C167" s="143" t="s">
        <v>221</v>
      </c>
      <c r="D167" s="2" t="s">
        <v>25</v>
      </c>
      <c r="E167" s="2" t="s">
        <v>798</v>
      </c>
      <c r="F167" s="96">
        <f>G10/1000/(C7+C10)*C9*1000</f>
        <v>5.6121039436722024E-2</v>
      </c>
      <c r="G167" s="28">
        <f>K13/1000/(C7+C10)*C9*1000</f>
        <v>5.7198983721308931E-2</v>
      </c>
      <c r="H167" s="28"/>
      <c r="I167" s="28"/>
      <c r="J167" s="28"/>
      <c r="K167" s="28"/>
      <c r="L167" s="28"/>
      <c r="M167" s="28"/>
      <c r="N167" s="28"/>
      <c r="O167" s="28"/>
      <c r="P167" s="6"/>
      <c r="Q167" s="28"/>
      <c r="R167" s="28"/>
      <c r="S167" s="28"/>
      <c r="T167" s="28"/>
      <c r="U167" s="28"/>
      <c r="V167" s="28">
        <f t="shared" si="23"/>
        <v>0.11332002315803096</v>
      </c>
      <c r="W167" s="230">
        <f>-V167*AC167</f>
        <v>-5.6581317118489065E-2</v>
      </c>
      <c r="X167" s="26"/>
      <c r="Y167" s="26"/>
      <c r="Z167" s="26"/>
      <c r="AA167" s="414">
        <v>719</v>
      </c>
      <c r="AB167" s="26" t="s">
        <v>243</v>
      </c>
      <c r="AC167" s="418">
        <f t="shared" si="22"/>
        <v>0.49930555555555556</v>
      </c>
      <c r="AD167" s="75" t="s">
        <v>247</v>
      </c>
      <c r="AE167" s="26"/>
      <c r="AF167" s="26"/>
      <c r="AG167" s="26"/>
      <c r="AH167" s="26"/>
      <c r="AI167" s="26"/>
      <c r="AJ167" s="26"/>
      <c r="AK167" s="26"/>
      <c r="AL167" s="26"/>
      <c r="AM167" s="26"/>
      <c r="AN167" s="29"/>
    </row>
    <row r="168" spans="2:40" ht="16.5">
      <c r="B168" s="34"/>
      <c r="C168" s="143"/>
      <c r="D168" s="2" t="s">
        <v>222</v>
      </c>
      <c r="E168" s="2" t="s">
        <v>800</v>
      </c>
      <c r="F168" s="28"/>
      <c r="G168" s="28">
        <f>K14/(C7+C10)*C9*1000</f>
        <v>0.14299745930327232</v>
      </c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>
        <f t="shared" si="23"/>
        <v>0.14299745930327232</v>
      </c>
      <c r="W168" s="230">
        <f t="shared" ref="W168:W176" si="25">-V168*AC168</f>
        <v>-5.8258224160592426E-2</v>
      </c>
      <c r="X168" s="26"/>
      <c r="Y168" s="26"/>
      <c r="Z168" s="26"/>
      <c r="AA168" s="414">
        <f>11000/18.75</f>
        <v>586.66666666666663</v>
      </c>
      <c r="AB168" s="113" t="s">
        <v>574</v>
      </c>
      <c r="AC168" s="418">
        <f t="shared" si="22"/>
        <v>0.40740740740740738</v>
      </c>
      <c r="AD168" s="75" t="s">
        <v>580</v>
      </c>
      <c r="AE168" s="26"/>
      <c r="AF168" s="26"/>
      <c r="AG168" s="26"/>
      <c r="AH168" s="26"/>
      <c r="AI168" s="26"/>
      <c r="AJ168" s="26"/>
      <c r="AK168" s="26"/>
      <c r="AL168" s="26"/>
      <c r="AM168" s="26"/>
      <c r="AN168" s="29"/>
    </row>
    <row r="169" spans="2:40" ht="16.5">
      <c r="B169" s="34"/>
      <c r="C169" s="143"/>
      <c r="D169" s="2" t="s">
        <v>224</v>
      </c>
      <c r="E169" s="2" t="s">
        <v>799</v>
      </c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>
        <f t="shared" si="23"/>
        <v>0</v>
      </c>
      <c r="W169" s="230">
        <f t="shared" si="25"/>
        <v>0</v>
      </c>
      <c r="X169" s="26"/>
      <c r="Y169" s="26"/>
      <c r="Z169" s="26"/>
      <c r="AA169" s="414">
        <v>2639</v>
      </c>
      <c r="AB169" s="113" t="s">
        <v>573</v>
      </c>
      <c r="AC169" s="418">
        <f t="shared" si="22"/>
        <v>1.8326388888888889</v>
      </c>
      <c r="AD169" s="75" t="s">
        <v>248</v>
      </c>
      <c r="AE169" s="26"/>
      <c r="AF169" s="26"/>
      <c r="AG169" s="26"/>
      <c r="AH169" s="26"/>
      <c r="AI169" s="26"/>
      <c r="AJ169" s="26"/>
      <c r="AK169" s="26"/>
      <c r="AL169" s="26"/>
      <c r="AM169" s="26"/>
      <c r="AN169" s="29"/>
    </row>
    <row r="170" spans="2:40">
      <c r="B170" s="34"/>
      <c r="C170" s="74"/>
      <c r="D170" s="2" t="s">
        <v>560</v>
      </c>
      <c r="E170" s="2" t="s">
        <v>799</v>
      </c>
      <c r="F170" s="28"/>
      <c r="G170" s="28"/>
      <c r="H170" s="28"/>
      <c r="I170" s="28"/>
      <c r="J170" s="28"/>
      <c r="K170" s="28"/>
      <c r="L170" s="28"/>
      <c r="M170" s="28">
        <f>AT46/(O8+O10)*1000*(1-O16)</f>
        <v>3.6093123294699773E-4</v>
      </c>
      <c r="N170" s="28"/>
      <c r="O170" s="28"/>
      <c r="P170" s="28"/>
      <c r="Q170" s="28"/>
      <c r="R170" s="28"/>
      <c r="S170" s="28"/>
      <c r="T170" s="28"/>
      <c r="U170" s="28"/>
      <c r="V170" s="28">
        <f t="shared" si="23"/>
        <v>3.6093123294699773E-4</v>
      </c>
      <c r="W170" s="230">
        <f t="shared" si="25"/>
        <v>-5.5142271700235764E-4</v>
      </c>
      <c r="X170" s="26"/>
      <c r="Y170" s="26"/>
      <c r="Z170" s="26"/>
      <c r="AA170" s="414">
        <v>2200</v>
      </c>
      <c r="AB170" s="26" t="s">
        <v>244</v>
      </c>
      <c r="AC170" s="418">
        <f t="shared" si="22"/>
        <v>1.5277777777777777</v>
      </c>
      <c r="AD170" s="75" t="s">
        <v>248</v>
      </c>
      <c r="AE170" s="26"/>
      <c r="AF170" s="26"/>
      <c r="AG170" s="26"/>
      <c r="AH170" s="26"/>
      <c r="AI170" s="26"/>
      <c r="AJ170" s="26"/>
      <c r="AK170" s="26"/>
      <c r="AL170" s="26"/>
      <c r="AM170" s="26"/>
      <c r="AN170" s="29"/>
    </row>
    <row r="171" spans="2:40">
      <c r="B171" s="34"/>
      <c r="C171" s="74"/>
      <c r="D171" s="2" t="s">
        <v>614</v>
      </c>
      <c r="E171" s="26" t="s">
        <v>801</v>
      </c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>
        <f t="shared" si="23"/>
        <v>0</v>
      </c>
      <c r="W171" s="230">
        <f t="shared" si="25"/>
        <v>0</v>
      </c>
      <c r="X171" s="26"/>
      <c r="Y171" s="26"/>
      <c r="Z171" s="26"/>
      <c r="AA171" s="415"/>
      <c r="AB171" s="28"/>
      <c r="AC171" s="404">
        <v>1.4</v>
      </c>
      <c r="AD171" s="75" t="s">
        <v>248</v>
      </c>
      <c r="AE171" s="26"/>
      <c r="AF171" s="26"/>
      <c r="AG171" s="26"/>
      <c r="AH171" s="26"/>
      <c r="AI171" s="26"/>
      <c r="AJ171" s="26"/>
      <c r="AK171" s="26"/>
      <c r="AL171" s="26"/>
      <c r="AM171" s="26"/>
      <c r="AN171" s="29"/>
    </row>
    <row r="172" spans="2:40" ht="16.5">
      <c r="B172" s="34"/>
      <c r="C172" s="74"/>
      <c r="D172" s="2" t="s">
        <v>615</v>
      </c>
      <c r="E172" s="7" t="s">
        <v>801</v>
      </c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>
        <f t="shared" si="23"/>
        <v>0</v>
      </c>
      <c r="W172" s="230">
        <f t="shared" si="25"/>
        <v>0</v>
      </c>
      <c r="X172" s="26"/>
      <c r="Y172" s="26"/>
      <c r="Z172" s="26"/>
      <c r="AA172" s="415"/>
      <c r="AB172" s="28"/>
      <c r="AC172" s="418">
        <f>(0.18+0.3)/2</f>
        <v>0.24</v>
      </c>
      <c r="AD172" s="75" t="s">
        <v>248</v>
      </c>
      <c r="AE172" s="26"/>
      <c r="AF172" s="26"/>
      <c r="AG172" s="26"/>
      <c r="AH172" s="26"/>
      <c r="AI172" s="26"/>
      <c r="AJ172" s="26"/>
      <c r="AK172" s="26"/>
      <c r="AL172" s="26"/>
      <c r="AM172" s="26"/>
      <c r="AN172" s="29"/>
    </row>
    <row r="173" spans="2:40">
      <c r="B173" s="34"/>
      <c r="C173" s="143" t="s">
        <v>225</v>
      </c>
      <c r="D173" s="2" t="s">
        <v>226</v>
      </c>
      <c r="E173" s="2" t="s">
        <v>802</v>
      </c>
      <c r="F173" s="28"/>
      <c r="G173" s="28"/>
      <c r="H173" s="28"/>
      <c r="I173" s="28"/>
      <c r="J173" s="28"/>
      <c r="K173" s="28"/>
      <c r="L173" s="28"/>
      <c r="M173" s="28"/>
      <c r="N173" s="28">
        <f>AU52/(O8+O10)*1000*(1-O16)</f>
        <v>5.5942550262628232E-2</v>
      </c>
      <c r="O173" s="28"/>
      <c r="P173" s="28"/>
      <c r="Q173" s="28"/>
      <c r="R173" s="28"/>
      <c r="S173" s="28"/>
      <c r="T173" s="28"/>
      <c r="U173" s="28"/>
      <c r="V173" s="28">
        <f>SUM(D173:U173)</f>
        <v>5.5942550262628232E-2</v>
      </c>
      <c r="W173" s="230">
        <f t="shared" si="25"/>
        <v>-4.2733892561729894</v>
      </c>
      <c r="X173" s="26"/>
      <c r="Y173" s="26"/>
      <c r="Z173" s="26"/>
      <c r="AA173" s="414">
        <v>110000</v>
      </c>
      <c r="AB173" s="26" t="s">
        <v>245</v>
      </c>
      <c r="AC173" s="418">
        <f>AA173/$AC$134</f>
        <v>76.388888888888886</v>
      </c>
      <c r="AD173" s="75" t="s">
        <v>249</v>
      </c>
      <c r="AE173" s="26"/>
      <c r="AF173" s="26"/>
      <c r="AG173" s="26"/>
      <c r="AH173" s="26"/>
      <c r="AI173" s="26"/>
      <c r="AJ173" s="26"/>
      <c r="AK173" s="26"/>
      <c r="AL173" s="26"/>
      <c r="AM173" s="26"/>
      <c r="AN173" s="29"/>
    </row>
    <row r="174" spans="2:40">
      <c r="B174" s="34"/>
      <c r="C174" s="143"/>
      <c r="D174" s="2" t="s">
        <v>227</v>
      </c>
      <c r="E174" s="2" t="s">
        <v>802</v>
      </c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>
        <f>SUM(D174:U174)</f>
        <v>0</v>
      </c>
      <c r="W174" s="230">
        <f t="shared" si="25"/>
        <v>0</v>
      </c>
      <c r="X174" s="26"/>
      <c r="Y174" s="26"/>
      <c r="Z174" s="28"/>
      <c r="AA174" s="414">
        <v>110000</v>
      </c>
      <c r="AB174" s="26" t="s">
        <v>245</v>
      </c>
      <c r="AC174" s="418">
        <f>AA174/$AC$134</f>
        <v>76.388888888888886</v>
      </c>
      <c r="AD174" s="75" t="s">
        <v>249</v>
      </c>
      <c r="AE174" s="26"/>
      <c r="AF174" s="26"/>
      <c r="AG174" s="26"/>
      <c r="AH174" s="26"/>
      <c r="AI174" s="26"/>
      <c r="AJ174" s="26"/>
      <c r="AK174" s="26"/>
      <c r="AL174" s="26"/>
      <c r="AM174" s="26"/>
      <c r="AN174" s="29"/>
    </row>
    <row r="175" spans="2:40">
      <c r="B175" s="34"/>
      <c r="C175" s="143"/>
      <c r="D175" s="2" t="s">
        <v>597</v>
      </c>
      <c r="E175" s="2" t="s">
        <v>802</v>
      </c>
      <c r="F175" s="28"/>
      <c r="G175" s="28"/>
      <c r="H175" s="28"/>
      <c r="I175" s="28"/>
      <c r="J175" s="28"/>
      <c r="K175" s="28"/>
      <c r="L175" s="28"/>
      <c r="M175" s="28"/>
      <c r="N175" s="28">
        <f>AU51/(O8+O10)*1000*(1-O16)</f>
        <v>4.054261998908194E-3</v>
      </c>
      <c r="O175" s="28"/>
      <c r="P175" s="28"/>
      <c r="Q175" s="28"/>
      <c r="R175" s="28"/>
      <c r="S175" s="28"/>
      <c r="T175" s="28"/>
      <c r="U175" s="28"/>
      <c r="V175" s="28">
        <f>SUM(D175:U175)</f>
        <v>4.054261998908194E-3</v>
      </c>
      <c r="W175" s="230">
        <f t="shared" si="25"/>
        <v>-0.30970056936104257</v>
      </c>
      <c r="X175" s="26"/>
      <c r="Y175" s="26"/>
      <c r="Z175" s="28"/>
      <c r="AA175" s="414">
        <v>110000</v>
      </c>
      <c r="AB175" s="26" t="s">
        <v>245</v>
      </c>
      <c r="AC175" s="418">
        <f>AA175/$AC$134</f>
        <v>76.388888888888886</v>
      </c>
      <c r="AD175" s="75" t="s">
        <v>249</v>
      </c>
      <c r="AE175" s="26"/>
      <c r="AF175" s="26"/>
      <c r="AG175" s="26"/>
      <c r="AH175" s="26"/>
      <c r="AI175" s="26"/>
      <c r="AJ175" s="26"/>
      <c r="AK175" s="26"/>
      <c r="AL175" s="26"/>
      <c r="AM175" s="26"/>
      <c r="AN175" s="29"/>
    </row>
    <row r="176" spans="2:40">
      <c r="B176" s="34"/>
      <c r="C176" s="144"/>
      <c r="D176" s="145" t="s">
        <v>228</v>
      </c>
      <c r="E176" s="145" t="s">
        <v>798</v>
      </c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>
        <f>SUM(D176:U176)</f>
        <v>0</v>
      </c>
      <c r="W176" s="231">
        <f t="shared" si="25"/>
        <v>0</v>
      </c>
      <c r="X176" s="26"/>
      <c r="Y176" s="26"/>
      <c r="Z176" s="26"/>
      <c r="AA176" s="416">
        <v>278</v>
      </c>
      <c r="AB176" s="81" t="s">
        <v>243</v>
      </c>
      <c r="AC176" s="419">
        <f>AA176/$AC$134</f>
        <v>0.19305555555555556</v>
      </c>
      <c r="AD176" s="78" t="s">
        <v>247</v>
      </c>
      <c r="AE176" s="26"/>
      <c r="AF176" s="26"/>
      <c r="AG176" s="26"/>
      <c r="AH176" s="26"/>
      <c r="AI176" s="26"/>
      <c r="AJ176" s="26"/>
      <c r="AK176" s="26"/>
      <c r="AL176" s="26"/>
      <c r="AM176" s="26"/>
      <c r="AN176" s="29"/>
    </row>
    <row r="177" spans="2:40">
      <c r="B177" s="34"/>
      <c r="C177" s="26"/>
      <c r="D177" s="26"/>
      <c r="E177" s="26"/>
      <c r="F177" s="26"/>
      <c r="G177" s="28"/>
      <c r="H177" s="26"/>
      <c r="I177" s="28"/>
      <c r="J177" s="28"/>
      <c r="K177" s="26"/>
      <c r="L177" s="26"/>
      <c r="M177" s="26"/>
      <c r="N177" s="28"/>
      <c r="O177" s="26"/>
      <c r="P177" s="26"/>
      <c r="Q177" s="26"/>
      <c r="R177" s="28"/>
      <c r="S177" s="26"/>
      <c r="T177" s="27" t="s">
        <v>616</v>
      </c>
      <c r="U177" s="27" t="s">
        <v>104</v>
      </c>
      <c r="V177" s="27">
        <f>V165</f>
        <v>2097.73852618502</v>
      </c>
      <c r="W177" s="27" t="s">
        <v>781</v>
      </c>
      <c r="X177" s="28"/>
      <c r="Y177" s="26"/>
      <c r="Z177" s="26"/>
      <c r="AA177" s="26"/>
      <c r="AB177" s="28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9"/>
    </row>
    <row r="178" spans="2:40">
      <c r="B178" s="34"/>
      <c r="C178" s="26"/>
      <c r="D178" s="26"/>
      <c r="E178" s="26"/>
      <c r="F178" s="26"/>
      <c r="G178" s="28"/>
      <c r="H178" s="26"/>
      <c r="I178" s="26"/>
      <c r="J178" s="26"/>
      <c r="K178" s="28"/>
      <c r="L178" s="26"/>
      <c r="M178" s="26"/>
      <c r="N178" s="26"/>
      <c r="O178" s="28"/>
      <c r="P178" s="26"/>
      <c r="Q178" s="26"/>
      <c r="R178" s="26"/>
      <c r="S178" s="26"/>
      <c r="T178" s="27"/>
      <c r="U178" s="27"/>
      <c r="V178" s="6">
        <f>V177/1000</f>
        <v>2.0977385261850201</v>
      </c>
      <c r="W178" s="27" t="s">
        <v>783</v>
      </c>
      <c r="X178" s="28"/>
      <c r="Y178" s="26"/>
      <c r="Z178" s="26"/>
      <c r="AA178" s="26"/>
      <c r="AB178" s="28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9"/>
    </row>
    <row r="179" spans="2:40">
      <c r="B179" s="34"/>
      <c r="C179" s="26"/>
      <c r="D179" s="26"/>
      <c r="E179" s="26"/>
      <c r="F179" s="26"/>
      <c r="G179" s="28"/>
      <c r="H179" s="26"/>
      <c r="I179" s="26"/>
      <c r="J179" s="26"/>
      <c r="K179" s="28"/>
      <c r="L179" s="26"/>
      <c r="M179" s="26"/>
      <c r="N179" s="26"/>
      <c r="O179" s="28"/>
      <c r="P179" s="26"/>
      <c r="Q179" s="26"/>
      <c r="R179" s="26"/>
      <c r="S179" s="26"/>
      <c r="T179" s="27"/>
      <c r="U179" s="27" t="s">
        <v>194</v>
      </c>
      <c r="V179" s="27">
        <f>V166</f>
        <v>-0.32167534018183125</v>
      </c>
      <c r="W179" s="27" t="s">
        <v>781</v>
      </c>
      <c r="X179" s="28"/>
      <c r="Y179" s="26"/>
      <c r="Z179" s="26"/>
      <c r="AA179" s="26"/>
      <c r="AB179" s="28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9"/>
    </row>
    <row r="180" spans="2:40">
      <c r="B180" s="34"/>
      <c r="C180" s="26"/>
      <c r="D180" s="26"/>
      <c r="E180" s="26"/>
      <c r="F180" s="26"/>
      <c r="G180" s="28"/>
      <c r="H180" s="26"/>
      <c r="I180" s="26"/>
      <c r="J180" s="26"/>
      <c r="K180" s="28"/>
      <c r="L180" s="26"/>
      <c r="M180" s="26"/>
      <c r="N180" s="26"/>
      <c r="O180" s="28"/>
      <c r="P180" s="26"/>
      <c r="Q180" s="26"/>
      <c r="R180" s="26"/>
      <c r="S180" s="26"/>
      <c r="T180" s="27"/>
      <c r="U180" s="27"/>
      <c r="V180" s="6">
        <f>V179/1000</f>
        <v>-3.2167534018183127E-4</v>
      </c>
      <c r="W180" s="27" t="s">
        <v>783</v>
      </c>
      <c r="X180" s="28"/>
      <c r="Y180" s="26"/>
      <c r="Z180" s="26"/>
      <c r="AA180" s="26"/>
      <c r="AB180" s="28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9"/>
    </row>
    <row r="181" spans="2:40">
      <c r="B181" s="34"/>
      <c r="C181" s="26"/>
      <c r="D181" s="26"/>
      <c r="E181" s="26"/>
      <c r="F181" s="26"/>
      <c r="G181" s="28"/>
      <c r="H181" s="26"/>
      <c r="I181" s="26"/>
      <c r="J181" s="26"/>
      <c r="K181" s="28"/>
      <c r="L181" s="26"/>
      <c r="M181" s="26"/>
      <c r="N181" s="26"/>
      <c r="O181" s="28"/>
      <c r="P181" s="26"/>
      <c r="Q181" s="26"/>
      <c r="R181" s="26"/>
      <c r="S181" s="26"/>
      <c r="T181" s="27"/>
      <c r="U181" s="6" t="s">
        <v>732</v>
      </c>
      <c r="V181" s="27">
        <f>SUM(V177,V179)</f>
        <v>2097.4168508448383</v>
      </c>
      <c r="W181" s="27" t="s">
        <v>781</v>
      </c>
      <c r="X181" s="28"/>
      <c r="Y181" s="26"/>
      <c r="Z181" s="26"/>
      <c r="AA181" s="26"/>
      <c r="AB181" s="28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9"/>
    </row>
    <row r="182" spans="2:40">
      <c r="B182" s="34"/>
      <c r="C182" s="26"/>
      <c r="D182" s="26"/>
      <c r="E182" s="26"/>
      <c r="F182" s="26"/>
      <c r="G182" s="28"/>
      <c r="H182" s="26"/>
      <c r="I182" s="26"/>
      <c r="J182" s="26"/>
      <c r="K182" s="28"/>
      <c r="L182" s="26"/>
      <c r="M182" s="26"/>
      <c r="N182" s="26"/>
      <c r="O182" s="28"/>
      <c r="P182" s="26"/>
      <c r="Q182" s="26"/>
      <c r="R182" s="26"/>
      <c r="S182" s="26"/>
      <c r="T182" s="27"/>
      <c r="U182" s="27"/>
      <c r="V182" s="6">
        <f>SUM(V178,V180)</f>
        <v>2.0974168508448381</v>
      </c>
      <c r="W182" s="27" t="s">
        <v>783</v>
      </c>
      <c r="X182" s="28"/>
      <c r="Y182" s="26"/>
      <c r="Z182" s="26"/>
      <c r="AA182" s="26"/>
      <c r="AB182" s="28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9"/>
    </row>
    <row r="183" spans="2:40" ht="15.75" thickBot="1">
      <c r="B183" s="61"/>
      <c r="C183" s="62"/>
      <c r="D183" s="62"/>
      <c r="E183" s="62"/>
      <c r="F183" s="62"/>
      <c r="G183" s="63"/>
      <c r="H183" s="62"/>
      <c r="I183" s="62"/>
      <c r="J183" s="62"/>
      <c r="K183" s="63"/>
      <c r="L183" s="62"/>
      <c r="M183" s="62"/>
      <c r="N183" s="62"/>
      <c r="O183" s="63"/>
      <c r="P183" s="62"/>
      <c r="Q183" s="62"/>
      <c r="R183" s="62"/>
      <c r="S183" s="62"/>
      <c r="T183" s="241" t="s">
        <v>618</v>
      </c>
      <c r="U183" s="241"/>
      <c r="V183" s="241">
        <f>SUM(W165:W176)</f>
        <v>37.790436118152591</v>
      </c>
      <c r="W183" s="241" t="s">
        <v>789</v>
      </c>
      <c r="X183" s="63"/>
      <c r="Y183" s="62"/>
      <c r="Z183" s="62"/>
      <c r="AA183" s="62"/>
      <c r="AB183" s="63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4"/>
    </row>
    <row r="184" spans="2:40" ht="16.5">
      <c r="B184" s="26"/>
      <c r="C184" s="2"/>
      <c r="D184" s="2"/>
      <c r="E184" s="2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6"/>
      <c r="S184" s="28"/>
      <c r="T184" s="26"/>
      <c r="U184" s="97"/>
      <c r="V184" s="26"/>
      <c r="W184" s="233"/>
      <c r="X184" s="26"/>
      <c r="Y184" s="26"/>
      <c r="Z184" s="26"/>
      <c r="AA184" s="26"/>
    </row>
    <row r="185" spans="2:40">
      <c r="B185" s="26"/>
      <c r="C185" s="2"/>
      <c r="D185" s="2"/>
      <c r="E185" s="2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6"/>
      <c r="S185" s="28"/>
      <c r="T185" s="26"/>
      <c r="U185" s="97"/>
      <c r="V185" s="26"/>
      <c r="W185" s="26"/>
      <c r="X185" s="26"/>
      <c r="Y185" s="26"/>
      <c r="Z185" s="26"/>
      <c r="AA185" s="26"/>
    </row>
    <row r="186" spans="2:40" ht="15.75" thickBot="1">
      <c r="B186" s="4" t="s">
        <v>777</v>
      </c>
      <c r="C186" s="2"/>
      <c r="D186" s="2"/>
      <c r="E186" s="2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6"/>
      <c r="S186" s="28"/>
      <c r="T186" s="26"/>
      <c r="U186" s="97"/>
      <c r="V186" s="26"/>
      <c r="W186" s="26"/>
      <c r="X186" s="26"/>
      <c r="Y186" s="26"/>
      <c r="Z186" s="26"/>
      <c r="AA186" s="26"/>
    </row>
    <row r="187" spans="2:40">
      <c r="B187" s="68"/>
      <c r="C187" s="21"/>
      <c r="D187" s="19"/>
      <c r="E187" s="19"/>
      <c r="F187" s="19"/>
      <c r="G187" s="21"/>
      <c r="H187" s="19"/>
      <c r="I187" s="19"/>
      <c r="J187" s="19"/>
      <c r="K187" s="21"/>
      <c r="L187" s="19"/>
      <c r="M187" s="19"/>
      <c r="N187" s="19"/>
      <c r="O187" s="19"/>
      <c r="P187" s="21"/>
      <c r="Q187" s="19"/>
      <c r="R187" s="19"/>
      <c r="S187" s="19"/>
      <c r="T187" s="21"/>
      <c r="U187" s="19"/>
      <c r="V187" s="19"/>
      <c r="W187" s="19"/>
      <c r="X187" s="21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22"/>
    </row>
    <row r="188" spans="2:40">
      <c r="B188" s="34"/>
      <c r="C188" s="27" t="s">
        <v>191</v>
      </c>
      <c r="D188" s="26"/>
      <c r="E188" s="26"/>
      <c r="F188" s="26"/>
      <c r="G188" s="26"/>
      <c r="H188" s="26"/>
      <c r="I188" s="26"/>
      <c r="J188" s="28"/>
      <c r="K188" s="26"/>
      <c r="L188" s="26"/>
      <c r="M188" s="26"/>
      <c r="N188" s="28"/>
      <c r="O188" s="26"/>
      <c r="P188" s="26"/>
      <c r="Q188" s="28"/>
      <c r="R188" s="26"/>
      <c r="S188" s="26"/>
      <c r="T188" s="26"/>
      <c r="U188" s="28"/>
      <c r="V188" s="26"/>
      <c r="W188" s="26"/>
      <c r="X188" s="26"/>
      <c r="Y188" s="26"/>
      <c r="Z188" s="26"/>
      <c r="AA188" s="290" t="s">
        <v>212</v>
      </c>
      <c r="AB188" s="291"/>
      <c r="AC188" s="292">
        <v>1440</v>
      </c>
      <c r="AD188" s="293" t="s">
        <v>575</v>
      </c>
      <c r="AE188" s="26"/>
      <c r="AF188" s="26"/>
      <c r="AG188" s="26"/>
      <c r="AH188" s="26"/>
      <c r="AI188" s="26"/>
      <c r="AJ188" s="26"/>
      <c r="AK188" s="26"/>
      <c r="AL188" s="26"/>
      <c r="AM188" s="26"/>
      <c r="AN188" s="29"/>
    </row>
    <row r="189" spans="2:40">
      <c r="B189" s="34"/>
      <c r="C189" s="115"/>
      <c r="D189" s="114"/>
      <c r="E189" s="114"/>
      <c r="F189" s="140" t="s">
        <v>231</v>
      </c>
      <c r="G189" s="140"/>
      <c r="H189" s="140" t="s">
        <v>602</v>
      </c>
      <c r="I189" s="140"/>
      <c r="J189" s="70"/>
      <c r="K189" s="79"/>
      <c r="L189" s="79"/>
      <c r="M189" s="79"/>
      <c r="N189" s="70"/>
      <c r="O189" s="140" t="s">
        <v>233</v>
      </c>
      <c r="P189" s="140"/>
      <c r="Q189" s="140"/>
      <c r="R189" s="140"/>
      <c r="S189" s="140"/>
      <c r="T189" s="140"/>
      <c r="U189" s="140" t="s">
        <v>213</v>
      </c>
      <c r="V189" s="140" t="s">
        <v>234</v>
      </c>
      <c r="W189" s="116" t="s">
        <v>242</v>
      </c>
      <c r="X189" s="2"/>
      <c r="Y189" s="6"/>
      <c r="Z189" s="26"/>
      <c r="AA189" s="295" t="s">
        <v>656</v>
      </c>
      <c r="AB189" s="79"/>
      <c r="AC189" s="79"/>
      <c r="AD189" s="71"/>
      <c r="AE189" s="26"/>
      <c r="AF189" s="26"/>
      <c r="AG189" s="26"/>
      <c r="AH189" s="26"/>
      <c r="AI189" s="26"/>
      <c r="AJ189" s="26"/>
      <c r="AK189" s="26"/>
      <c r="AL189" s="26"/>
      <c r="AM189" s="26"/>
      <c r="AN189" s="29"/>
    </row>
    <row r="190" spans="2:40" ht="15.75" thickBot="1">
      <c r="B190" s="34"/>
      <c r="C190" s="141"/>
      <c r="D190" s="142"/>
      <c r="E190" s="142" t="s">
        <v>219</v>
      </c>
      <c r="F190" s="142" t="s">
        <v>239</v>
      </c>
      <c r="G190" s="142" t="s">
        <v>240</v>
      </c>
      <c r="H190" s="142" t="s">
        <v>593</v>
      </c>
      <c r="I190" s="142" t="s">
        <v>594</v>
      </c>
      <c r="J190" s="142" t="s">
        <v>595</v>
      </c>
      <c r="K190" s="142" t="s">
        <v>592</v>
      </c>
      <c r="L190" s="142" t="s">
        <v>596</v>
      </c>
      <c r="M190" s="142" t="s">
        <v>238</v>
      </c>
      <c r="N190" s="142" t="s">
        <v>598</v>
      </c>
      <c r="O190" s="142" t="s">
        <v>236</v>
      </c>
      <c r="P190" s="142" t="s">
        <v>237</v>
      </c>
      <c r="Q190" s="142" t="s">
        <v>197</v>
      </c>
      <c r="R190" s="142" t="s">
        <v>257</v>
      </c>
      <c r="S190" s="142" t="s">
        <v>238</v>
      </c>
      <c r="T190" s="142" t="s">
        <v>115</v>
      </c>
      <c r="U190" s="142" t="s">
        <v>239</v>
      </c>
      <c r="V190" s="142"/>
      <c r="W190" s="117"/>
      <c r="X190" s="2"/>
      <c r="Y190" s="27"/>
      <c r="Z190" s="26"/>
      <c r="AA190" s="413" t="s">
        <v>241</v>
      </c>
      <c r="AB190" s="294" t="s">
        <v>219</v>
      </c>
      <c r="AC190" s="417" t="s">
        <v>241</v>
      </c>
      <c r="AD190" s="297" t="s">
        <v>219</v>
      </c>
      <c r="AE190" s="26"/>
      <c r="AF190" s="26"/>
      <c r="AG190" s="26"/>
      <c r="AH190" s="26"/>
      <c r="AI190" s="26"/>
      <c r="AJ190" s="26"/>
      <c r="AK190" s="26"/>
      <c r="AL190" s="26"/>
      <c r="AM190" s="26"/>
      <c r="AN190" s="29"/>
    </row>
    <row r="191" spans="2:40" ht="17.25" thickTop="1">
      <c r="B191" s="34"/>
      <c r="C191" s="143" t="s">
        <v>220</v>
      </c>
      <c r="D191" s="2" t="s">
        <v>104</v>
      </c>
      <c r="E191" s="2" t="s">
        <v>781</v>
      </c>
      <c r="F191" s="28">
        <f>-F137/(C7+C10)*C12*1000</f>
        <v>2.1090583897121737</v>
      </c>
      <c r="G191" s="28">
        <f>(-K18-K19)/(C7+C10)*C12*1000</f>
        <v>-26.189148861457671</v>
      </c>
      <c r="H191" s="28"/>
      <c r="I191" s="28">
        <f>-AI58/(O8+O10)*1000*O16</f>
        <v>-0.37692557519288444</v>
      </c>
      <c r="J191" s="28"/>
      <c r="K191" s="28">
        <f>AN59/(O8+O10)*1000*O16</f>
        <v>2.5925478852886878</v>
      </c>
      <c r="L191" s="28">
        <f>-AT38/(O8+O10)*1000*(O16)</f>
        <v>-5.2743350604981393E-2</v>
      </c>
      <c r="M191" s="28"/>
      <c r="N191" s="28"/>
      <c r="O191" s="28"/>
      <c r="P191" s="28"/>
      <c r="Q191" s="28">
        <f>-Q93/(G65+G63)*G69*1000</f>
        <v>-1.0838155200753476</v>
      </c>
      <c r="R191" s="28"/>
      <c r="S191" s="28">
        <f>-M117/(G65+G63)*G69*1000</f>
        <v>-10.580785279252185</v>
      </c>
      <c r="T191" s="28">
        <f>Q110/(G65+G63)*G69*1000</f>
        <v>3725.4714098968066</v>
      </c>
      <c r="U191" s="28">
        <f>-U117/(G65+G63)*G69*1000</f>
        <v>-8.5854940558148183</v>
      </c>
      <c r="V191" s="28">
        <f>SUM(D191:U191)</f>
        <v>3683.3041035294095</v>
      </c>
      <c r="W191" s="240">
        <f>V191/3.6*AC191*(O25/100)</f>
        <v>74.60396043028318</v>
      </c>
      <c r="X191" s="26"/>
      <c r="Y191" s="26"/>
      <c r="Z191" s="26"/>
      <c r="AA191" s="414">
        <v>105</v>
      </c>
      <c r="AB191" s="26" t="s">
        <v>338</v>
      </c>
      <c r="AC191" s="418">
        <f t="shared" ref="AC191:AC196" si="26">AA191/$AC$134</f>
        <v>7.2916666666666671E-2</v>
      </c>
      <c r="AD191" s="75" t="s">
        <v>246</v>
      </c>
      <c r="AE191" s="26"/>
      <c r="AF191" s="26"/>
      <c r="AG191" s="26"/>
      <c r="AH191" s="26"/>
      <c r="AI191" s="26"/>
      <c r="AJ191" s="26"/>
      <c r="AK191" s="26"/>
      <c r="AL191" s="26"/>
      <c r="AM191" s="26"/>
      <c r="AN191" s="29"/>
    </row>
    <row r="192" spans="2:40">
      <c r="B192" s="34"/>
      <c r="C192" s="143"/>
      <c r="D192" s="2" t="s">
        <v>194</v>
      </c>
      <c r="E192" s="2" t="s">
        <v>781</v>
      </c>
      <c r="F192" s="28"/>
      <c r="G192" s="28"/>
      <c r="H192" s="28">
        <f>AI41/(O8+O10)*1000*O16</f>
        <v>12.315862997892426</v>
      </c>
      <c r="I192" s="28">
        <f>-AI51/(O8+O10)*1000*O16</f>
        <v>-1.0356414838059427</v>
      </c>
      <c r="J192" s="28">
        <f>-AI68/(O8+O10)*1000*O16</f>
        <v>-1.2315862997892426</v>
      </c>
      <c r="K192" s="28">
        <f>-AI72/(O8+O10)*1000*O16</f>
        <v>-10.04863521429724</v>
      </c>
      <c r="L192" s="28"/>
      <c r="M192" s="28"/>
      <c r="N192" s="28"/>
      <c r="O192" s="28">
        <f>-M94/(G65+G63)*G69*1000</f>
        <v>-9.1078242252374704</v>
      </c>
      <c r="P192" s="28">
        <f>-I96/(G65+G63)*G69*1000</f>
        <v>-2.272507726570697</v>
      </c>
      <c r="Q192" s="28"/>
      <c r="R192" s="28"/>
      <c r="S192" s="28"/>
      <c r="T192" s="28">
        <f>Q112/(G65+G63)*G69*1000</f>
        <v>6209.1190164946775</v>
      </c>
      <c r="U192" s="28"/>
      <c r="V192" s="28">
        <f t="shared" ref="V192:V198" si="27">SUM(D192:U192)</f>
        <v>6197.7386845428691</v>
      </c>
      <c r="W192" s="230">
        <f t="shared" ref="W192" si="28">V192/3.6*AC192</f>
        <v>0</v>
      </c>
      <c r="X192" s="26"/>
      <c r="Y192" s="26"/>
      <c r="Z192" s="26"/>
      <c r="AA192" s="414"/>
      <c r="AB192" s="26"/>
      <c r="AC192" s="418">
        <f t="shared" si="26"/>
        <v>0</v>
      </c>
      <c r="AD192" s="75"/>
      <c r="AE192" s="26"/>
      <c r="AF192" s="26"/>
      <c r="AG192" s="26"/>
      <c r="AH192" s="26"/>
      <c r="AI192" s="26"/>
      <c r="AJ192" s="26"/>
      <c r="AK192" s="26"/>
      <c r="AL192" s="26"/>
      <c r="AM192" s="26"/>
      <c r="AN192" s="29"/>
    </row>
    <row r="193" spans="2:40">
      <c r="B193" s="34"/>
      <c r="C193" s="143" t="s">
        <v>221</v>
      </c>
      <c r="D193" s="2" t="s">
        <v>25</v>
      </c>
      <c r="E193" s="2" t="s">
        <v>798</v>
      </c>
      <c r="F193" s="96">
        <f>G10/1000/(C7+C10)*C9*1000</f>
        <v>5.6121039436722024E-2</v>
      </c>
      <c r="G193" s="28">
        <f>K13/1000/(C7+C10)*C12*1000</f>
        <v>0.17238512613646451</v>
      </c>
      <c r="H193" s="28"/>
      <c r="I193" s="28"/>
      <c r="J193" s="28"/>
      <c r="K193" s="28"/>
      <c r="L193" s="28"/>
      <c r="M193" s="28"/>
      <c r="N193" s="28"/>
      <c r="O193" s="28"/>
      <c r="P193" s="6"/>
      <c r="Q193" s="28"/>
      <c r="R193" s="28">
        <f>-H107/(G65+G63)*G69*1000</f>
        <v>-1.6798009079879758E-2</v>
      </c>
      <c r="S193" s="28"/>
      <c r="T193" s="28"/>
      <c r="U193" s="28"/>
      <c r="V193" s="28">
        <f t="shared" si="27"/>
        <v>0.21170815649330677</v>
      </c>
      <c r="W193" s="230">
        <f>-V193*AC193</f>
        <v>-0.10570705869353303</v>
      </c>
      <c r="X193" s="26"/>
      <c r="Y193" s="26"/>
      <c r="Z193" s="26"/>
      <c r="AA193" s="414">
        <v>719</v>
      </c>
      <c r="AB193" s="26" t="s">
        <v>243</v>
      </c>
      <c r="AC193" s="418">
        <f t="shared" si="26"/>
        <v>0.49930555555555556</v>
      </c>
      <c r="AD193" s="75" t="s">
        <v>247</v>
      </c>
      <c r="AE193" s="26"/>
      <c r="AF193" s="26"/>
      <c r="AG193" s="26"/>
      <c r="AH193" s="26"/>
      <c r="AI193" s="26"/>
      <c r="AJ193" s="26"/>
      <c r="AK193" s="26"/>
      <c r="AL193" s="26"/>
      <c r="AM193" s="26"/>
      <c r="AN193" s="29"/>
    </row>
    <row r="194" spans="2:40" ht="16.5">
      <c r="B194" s="34"/>
      <c r="C194" s="143"/>
      <c r="D194" s="2" t="s">
        <v>222</v>
      </c>
      <c r="E194" s="2" t="s">
        <v>800</v>
      </c>
      <c r="F194" s="28"/>
      <c r="G194" s="28">
        <f>K14/(C7+C10)*C12*1000</f>
        <v>0.43096281534116126</v>
      </c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>
        <f t="shared" si="27"/>
        <v>0.43096281534116126</v>
      </c>
      <c r="W194" s="230">
        <f t="shared" ref="W194:W202" si="29">-V194*AC194</f>
        <v>-0.17557744328713976</v>
      </c>
      <c r="X194" s="26"/>
      <c r="Y194" s="26"/>
      <c r="Z194" s="26"/>
      <c r="AA194" s="414">
        <f>11000/18.75</f>
        <v>586.66666666666663</v>
      </c>
      <c r="AB194" s="113" t="s">
        <v>574</v>
      </c>
      <c r="AC194" s="418">
        <f t="shared" si="26"/>
        <v>0.40740740740740738</v>
      </c>
      <c r="AD194" s="75" t="s">
        <v>580</v>
      </c>
      <c r="AE194" s="26"/>
      <c r="AF194" s="26"/>
      <c r="AG194" s="26"/>
      <c r="AH194" s="26"/>
      <c r="AI194" s="26"/>
      <c r="AJ194" s="26"/>
      <c r="AK194" s="26"/>
      <c r="AL194" s="26"/>
      <c r="AM194" s="26"/>
      <c r="AN194" s="29"/>
    </row>
    <row r="195" spans="2:40" ht="16.5">
      <c r="B195" s="34"/>
      <c r="C195" s="143"/>
      <c r="D195" s="2" t="s">
        <v>224</v>
      </c>
      <c r="E195" s="2" t="s">
        <v>799</v>
      </c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>
        <f t="shared" si="27"/>
        <v>0</v>
      </c>
      <c r="W195" s="230">
        <f t="shared" si="29"/>
        <v>0</v>
      </c>
      <c r="X195" s="26"/>
      <c r="Y195" s="26"/>
      <c r="Z195" s="26"/>
      <c r="AA195" s="414">
        <v>2639</v>
      </c>
      <c r="AB195" s="113" t="s">
        <v>573</v>
      </c>
      <c r="AC195" s="418">
        <f t="shared" si="26"/>
        <v>1.8326388888888889</v>
      </c>
      <c r="AD195" s="75" t="s">
        <v>248</v>
      </c>
      <c r="AE195" s="26"/>
      <c r="AF195" s="26"/>
      <c r="AG195" s="26"/>
      <c r="AH195" s="26"/>
      <c r="AI195" s="26"/>
      <c r="AJ195" s="26"/>
      <c r="AK195" s="26"/>
      <c r="AL195" s="26"/>
      <c r="AM195" s="26"/>
      <c r="AN195" s="29"/>
    </row>
    <row r="196" spans="2:40">
      <c r="B196" s="34"/>
      <c r="C196" s="74"/>
      <c r="D196" s="2" t="s">
        <v>560</v>
      </c>
      <c r="E196" s="2" t="s">
        <v>799</v>
      </c>
      <c r="F196" s="28"/>
      <c r="G196" s="28"/>
      <c r="H196" s="28"/>
      <c r="I196" s="28"/>
      <c r="J196" s="28"/>
      <c r="K196" s="28"/>
      <c r="L196" s="28"/>
      <c r="M196" s="28">
        <f>AT46/(O8+O10)*1000*O16</f>
        <v>3.7065533202785274E-7</v>
      </c>
      <c r="N196" s="28"/>
      <c r="O196" s="28"/>
      <c r="P196" s="28"/>
      <c r="Q196" s="28"/>
      <c r="R196" s="28"/>
      <c r="S196" s="28"/>
      <c r="T196" s="28"/>
      <c r="U196" s="28"/>
      <c r="V196" s="28">
        <f t="shared" si="27"/>
        <v>3.7065533202785274E-7</v>
      </c>
      <c r="W196" s="230">
        <f t="shared" si="29"/>
        <v>-5.6627897948699721E-7</v>
      </c>
      <c r="X196" s="26"/>
      <c r="Y196" s="26"/>
      <c r="Z196" s="26"/>
      <c r="AA196" s="414">
        <v>2200</v>
      </c>
      <c r="AB196" s="26" t="s">
        <v>244</v>
      </c>
      <c r="AC196" s="418">
        <f t="shared" si="26"/>
        <v>1.5277777777777777</v>
      </c>
      <c r="AD196" s="75" t="s">
        <v>248</v>
      </c>
      <c r="AE196" s="26"/>
      <c r="AF196" s="26"/>
      <c r="AG196" s="26"/>
      <c r="AH196" s="26"/>
      <c r="AI196" s="26"/>
      <c r="AJ196" s="26"/>
      <c r="AK196" s="26"/>
      <c r="AL196" s="26"/>
      <c r="AM196" s="26"/>
      <c r="AN196" s="29"/>
    </row>
    <row r="197" spans="2:40">
      <c r="B197" s="34"/>
      <c r="C197" s="74"/>
      <c r="D197" s="2" t="s">
        <v>614</v>
      </c>
      <c r="E197" s="26" t="s">
        <v>801</v>
      </c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>
        <f>U112/(G65+G63)*G69*1000</f>
        <v>7.4421272942405498E-2</v>
      </c>
      <c r="V197" s="28">
        <f t="shared" si="27"/>
        <v>7.4421272942405498E-2</v>
      </c>
      <c r="W197" s="230">
        <f t="shared" si="29"/>
        <v>-0.10418978211936769</v>
      </c>
      <c r="X197" s="26"/>
      <c r="Y197" s="26"/>
      <c r="Z197" s="26"/>
      <c r="AA197" s="415"/>
      <c r="AB197" s="28"/>
      <c r="AC197" s="404">
        <v>1.4</v>
      </c>
      <c r="AD197" s="75" t="s">
        <v>248</v>
      </c>
      <c r="AE197" s="26"/>
      <c r="AF197" s="26"/>
      <c r="AG197" s="26"/>
      <c r="AH197" s="26"/>
      <c r="AI197" s="26"/>
      <c r="AJ197" s="26"/>
      <c r="AK197" s="26"/>
      <c r="AL197" s="26"/>
      <c r="AM197" s="26"/>
      <c r="AN197" s="29"/>
    </row>
    <row r="198" spans="2:40" ht="16.5">
      <c r="B198" s="34"/>
      <c r="C198" s="74"/>
      <c r="D198" s="2" t="s">
        <v>615</v>
      </c>
      <c r="E198" s="7" t="s">
        <v>801</v>
      </c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>
        <f>U113/(G65+G63)*G69*1000</f>
        <v>5.5815954706804116E-2</v>
      </c>
      <c r="V198" s="28">
        <f t="shared" si="27"/>
        <v>5.5815954706804116E-2</v>
      </c>
      <c r="W198" s="230">
        <f t="shared" si="29"/>
        <v>-1.3395829129632988E-2</v>
      </c>
      <c r="X198" s="26"/>
      <c r="Y198" s="26"/>
      <c r="Z198" s="26"/>
      <c r="AA198" s="415"/>
      <c r="AB198" s="28"/>
      <c r="AC198" s="418">
        <f>(0.18+0.3)/2</f>
        <v>0.24</v>
      </c>
      <c r="AD198" s="75" t="s">
        <v>248</v>
      </c>
      <c r="AE198" s="26"/>
      <c r="AF198" s="26"/>
      <c r="AG198" s="26"/>
      <c r="AH198" s="26"/>
      <c r="AI198" s="26"/>
      <c r="AJ198" s="26"/>
      <c r="AK198" s="26"/>
      <c r="AL198" s="26"/>
      <c r="AM198" s="26"/>
      <c r="AN198" s="29"/>
    </row>
    <row r="199" spans="2:40">
      <c r="B199" s="34"/>
      <c r="C199" s="143" t="s">
        <v>225</v>
      </c>
      <c r="D199" s="2" t="s">
        <v>226</v>
      </c>
      <c r="E199" s="2" t="s">
        <v>802</v>
      </c>
      <c r="F199" s="28"/>
      <c r="G199" s="28"/>
      <c r="H199" s="28"/>
      <c r="I199" s="28"/>
      <c r="J199" s="28"/>
      <c r="K199" s="28"/>
      <c r="L199" s="28"/>
      <c r="M199" s="28"/>
      <c r="N199" s="28">
        <f>AU52/(O8+O10)*1000*O16</f>
        <v>5.7449737371784256E-5</v>
      </c>
      <c r="O199" s="28"/>
      <c r="P199" s="28"/>
      <c r="Q199" s="28"/>
      <c r="R199" s="28"/>
      <c r="S199" s="28"/>
      <c r="T199" s="28"/>
      <c r="U199" s="28">
        <f>U124/(G65+G63)*G69*1000</f>
        <v>2.6733262955758688E-2</v>
      </c>
      <c r="V199" s="28">
        <f>SUM(D199:U199)</f>
        <v>2.6790712693130471E-2</v>
      </c>
      <c r="W199" s="230">
        <f t="shared" si="29"/>
        <v>-2.0465127751696888</v>
      </c>
      <c r="X199" s="26"/>
      <c r="Y199" s="26"/>
      <c r="Z199" s="26"/>
      <c r="AA199" s="414">
        <v>110000</v>
      </c>
      <c r="AB199" s="26" t="s">
        <v>245</v>
      </c>
      <c r="AC199" s="418">
        <f>AA199/$AC$134</f>
        <v>76.388888888888886</v>
      </c>
      <c r="AD199" s="75" t="s">
        <v>249</v>
      </c>
      <c r="AE199" s="26"/>
      <c r="AF199" s="26"/>
      <c r="AG199" s="26"/>
      <c r="AH199" s="26"/>
      <c r="AI199" s="26"/>
      <c r="AJ199" s="26"/>
      <c r="AK199" s="26"/>
      <c r="AL199" s="26"/>
      <c r="AM199" s="26"/>
      <c r="AN199" s="29"/>
    </row>
    <row r="200" spans="2:40">
      <c r="B200" s="34"/>
      <c r="C200" s="143"/>
      <c r="D200" s="2" t="s">
        <v>227</v>
      </c>
      <c r="E200" s="2" t="s">
        <v>802</v>
      </c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>
        <f>U116/(G65+G63)*G69*1000</f>
        <v>1.0440932487454784</v>
      </c>
      <c r="V200" s="28">
        <f>SUM(D200:U200)</f>
        <v>1.0440932487454784</v>
      </c>
      <c r="W200" s="230">
        <f t="shared" si="29"/>
        <v>-79.757123168057376</v>
      </c>
      <c r="X200" s="26"/>
      <c r="Y200" s="26"/>
      <c r="Z200" s="28"/>
      <c r="AA200" s="414">
        <v>110000</v>
      </c>
      <c r="AB200" s="26" t="s">
        <v>245</v>
      </c>
      <c r="AC200" s="418">
        <f>AA200/$AC$134</f>
        <v>76.388888888888886</v>
      </c>
      <c r="AD200" s="75" t="s">
        <v>249</v>
      </c>
      <c r="AE200" s="26"/>
      <c r="AF200" s="26"/>
      <c r="AG200" s="26"/>
      <c r="AH200" s="26"/>
      <c r="AI200" s="26"/>
      <c r="AJ200" s="26"/>
      <c r="AK200" s="26"/>
      <c r="AL200" s="26"/>
      <c r="AM200" s="26"/>
      <c r="AN200" s="29"/>
    </row>
    <row r="201" spans="2:40">
      <c r="B201" s="34"/>
      <c r="C201" s="143"/>
      <c r="D201" s="2" t="s">
        <v>597</v>
      </c>
      <c r="E201" s="2" t="s">
        <v>802</v>
      </c>
      <c r="F201" s="28"/>
      <c r="G201" s="28"/>
      <c r="H201" s="28"/>
      <c r="I201" s="28"/>
      <c r="J201" s="28"/>
      <c r="K201" s="28"/>
      <c r="L201" s="28"/>
      <c r="M201" s="28"/>
      <c r="N201" s="28">
        <f>AU51/(O8+O10)*1000*O16</f>
        <v>4.1634906878615763E-6</v>
      </c>
      <c r="O201" s="28"/>
      <c r="P201" s="28"/>
      <c r="Q201" s="28"/>
      <c r="R201" s="28"/>
      <c r="S201" s="28"/>
      <c r="T201" s="28"/>
      <c r="U201" s="28"/>
      <c r="V201" s="28">
        <f>SUM(D201:U201)</f>
        <v>4.1634906878615763E-6</v>
      </c>
      <c r="W201" s="230">
        <f t="shared" si="29"/>
        <v>-3.1804442754498153E-4</v>
      </c>
      <c r="X201" s="26"/>
      <c r="Y201" s="26"/>
      <c r="Z201" s="28"/>
      <c r="AA201" s="414">
        <v>110000</v>
      </c>
      <c r="AB201" s="26" t="s">
        <v>245</v>
      </c>
      <c r="AC201" s="418">
        <f>AA201/$AC$134</f>
        <v>76.388888888888886</v>
      </c>
      <c r="AD201" s="75" t="s">
        <v>249</v>
      </c>
      <c r="AE201" s="26"/>
      <c r="AF201" s="26"/>
      <c r="AG201" s="26"/>
      <c r="AH201" s="26"/>
      <c r="AI201" s="26"/>
      <c r="AJ201" s="26"/>
      <c r="AK201" s="26"/>
      <c r="AL201" s="26"/>
      <c r="AM201" s="26"/>
      <c r="AN201" s="29"/>
    </row>
    <row r="202" spans="2:40">
      <c r="B202" s="34"/>
      <c r="C202" s="144"/>
      <c r="D202" s="145" t="s">
        <v>228</v>
      </c>
      <c r="E202" s="145" t="s">
        <v>798</v>
      </c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>
        <f>U120/(G65+G63)*G69*1000</f>
        <v>0.63038539245864544</v>
      </c>
      <c r="V202" s="77">
        <f>SUM(D202:U202)</f>
        <v>0.63038539245864544</v>
      </c>
      <c r="W202" s="231">
        <f t="shared" si="29"/>
        <v>-0.12169940215521072</v>
      </c>
      <c r="X202" s="26"/>
      <c r="Y202" s="26"/>
      <c r="Z202" s="26"/>
      <c r="AA202" s="416">
        <v>278</v>
      </c>
      <c r="AB202" s="81" t="s">
        <v>243</v>
      </c>
      <c r="AC202" s="419">
        <f>AA202/$AC$134</f>
        <v>0.19305555555555556</v>
      </c>
      <c r="AD202" s="78" t="s">
        <v>247</v>
      </c>
      <c r="AE202" s="26"/>
      <c r="AF202" s="26"/>
      <c r="AG202" s="26"/>
      <c r="AH202" s="26"/>
      <c r="AI202" s="26"/>
      <c r="AJ202" s="26"/>
      <c r="AK202" s="26"/>
      <c r="AL202" s="26"/>
      <c r="AM202" s="26"/>
      <c r="AN202" s="29"/>
    </row>
    <row r="203" spans="2:40">
      <c r="B203" s="34"/>
      <c r="C203" s="26"/>
      <c r="D203" s="26"/>
      <c r="E203" s="26"/>
      <c r="F203" s="26"/>
      <c r="G203" s="28"/>
      <c r="H203" s="26"/>
      <c r="I203" s="28"/>
      <c r="J203" s="28"/>
      <c r="K203" s="26"/>
      <c r="L203" s="26"/>
      <c r="M203" s="26"/>
      <c r="N203" s="28"/>
      <c r="O203" s="26"/>
      <c r="P203" s="26"/>
      <c r="Q203" s="26"/>
      <c r="R203" s="28"/>
      <c r="S203" s="26"/>
      <c r="T203" s="27" t="s">
        <v>616</v>
      </c>
      <c r="U203" s="27" t="s">
        <v>104</v>
      </c>
      <c r="V203" s="27">
        <f>V191</f>
        <v>3683.3041035294095</v>
      </c>
      <c r="W203" s="27" t="s">
        <v>781</v>
      </c>
      <c r="X203" s="28"/>
      <c r="Y203" s="26"/>
      <c r="Z203" s="26"/>
      <c r="AA203" s="26"/>
      <c r="AB203" s="28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9"/>
    </row>
    <row r="204" spans="2:40">
      <c r="B204" s="34"/>
      <c r="C204" s="26"/>
      <c r="D204" s="26"/>
      <c r="E204" s="26"/>
      <c r="F204" s="26"/>
      <c r="G204" s="28"/>
      <c r="H204" s="26"/>
      <c r="I204" s="26"/>
      <c r="J204" s="26"/>
      <c r="K204" s="28"/>
      <c r="L204" s="26"/>
      <c r="M204" s="26"/>
      <c r="N204" s="26"/>
      <c r="O204" s="28"/>
      <c r="P204" s="26"/>
      <c r="Q204" s="26"/>
      <c r="R204" s="26"/>
      <c r="S204" s="26"/>
      <c r="T204" s="27"/>
      <c r="U204" s="27"/>
      <c r="V204" s="6">
        <f>V203/1000</f>
        <v>3.6833041035294096</v>
      </c>
      <c r="W204" s="27" t="s">
        <v>783</v>
      </c>
      <c r="X204" s="28"/>
      <c r="Y204" s="26"/>
      <c r="Z204" s="26"/>
      <c r="AA204" s="26"/>
      <c r="AB204" s="28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9"/>
    </row>
    <row r="205" spans="2:40">
      <c r="B205" s="34"/>
      <c r="C205" s="26"/>
      <c r="D205" s="26"/>
      <c r="E205" s="26"/>
      <c r="F205" s="26"/>
      <c r="G205" s="28"/>
      <c r="H205" s="26"/>
      <c r="I205" s="26"/>
      <c r="J205" s="26"/>
      <c r="K205" s="28"/>
      <c r="L205" s="26"/>
      <c r="M205" s="26"/>
      <c r="N205" s="26"/>
      <c r="O205" s="28"/>
      <c r="P205" s="26"/>
      <c r="Q205" s="26"/>
      <c r="R205" s="26"/>
      <c r="S205" s="26"/>
      <c r="T205" s="27"/>
      <c r="U205" s="27" t="s">
        <v>194</v>
      </c>
      <c r="V205" s="27">
        <f>V192</f>
        <v>6197.7386845428691</v>
      </c>
      <c r="W205" s="27" t="s">
        <v>781</v>
      </c>
      <c r="X205" s="28"/>
      <c r="Y205" s="26"/>
      <c r="Z205" s="26"/>
      <c r="AA205" s="26"/>
      <c r="AB205" s="28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9"/>
    </row>
    <row r="206" spans="2:40">
      <c r="B206" s="34"/>
      <c r="C206" s="26"/>
      <c r="D206" s="26"/>
      <c r="E206" s="26"/>
      <c r="F206" s="26"/>
      <c r="G206" s="28"/>
      <c r="H206" s="26"/>
      <c r="I206" s="26"/>
      <c r="J206" s="26"/>
      <c r="K206" s="28"/>
      <c r="L206" s="26"/>
      <c r="M206" s="26"/>
      <c r="N206" s="26"/>
      <c r="O206" s="28"/>
      <c r="P206" s="26"/>
      <c r="Q206" s="26"/>
      <c r="R206" s="26"/>
      <c r="S206" s="26"/>
      <c r="T206" s="27"/>
      <c r="U206" s="27"/>
      <c r="V206" s="6">
        <f>V205/1000</f>
        <v>6.1977386845428688</v>
      </c>
      <c r="W206" s="27" t="s">
        <v>783</v>
      </c>
      <c r="X206" s="28"/>
      <c r="Y206" s="26"/>
      <c r="Z206" s="26"/>
      <c r="AA206" s="26"/>
      <c r="AB206" s="28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9"/>
    </row>
    <row r="207" spans="2:40">
      <c r="B207" s="34"/>
      <c r="C207" s="26"/>
      <c r="D207" s="26"/>
      <c r="E207" s="26"/>
      <c r="F207" s="26"/>
      <c r="G207" s="28"/>
      <c r="H207" s="26"/>
      <c r="I207" s="26"/>
      <c r="J207" s="26"/>
      <c r="K207" s="28"/>
      <c r="L207" s="26"/>
      <c r="M207" s="26"/>
      <c r="N207" s="26"/>
      <c r="O207" s="28"/>
      <c r="P207" s="26"/>
      <c r="Q207" s="26"/>
      <c r="R207" s="26"/>
      <c r="S207" s="26"/>
      <c r="T207" s="27"/>
      <c r="U207" s="6" t="s">
        <v>732</v>
      </c>
      <c r="V207" s="27">
        <f>SUM(V203,V205)</f>
        <v>9881.0427880722782</v>
      </c>
      <c r="W207" s="27" t="s">
        <v>781</v>
      </c>
      <c r="X207" s="28"/>
      <c r="Y207" s="26"/>
      <c r="Z207" s="26"/>
      <c r="AA207" s="26"/>
      <c r="AB207" s="28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9"/>
    </row>
    <row r="208" spans="2:40">
      <c r="B208" s="34"/>
      <c r="C208" s="26"/>
      <c r="D208" s="26"/>
      <c r="E208" s="26"/>
      <c r="F208" s="26"/>
      <c r="G208" s="28"/>
      <c r="H208" s="26"/>
      <c r="I208" s="26"/>
      <c r="J208" s="26"/>
      <c r="K208" s="28"/>
      <c r="L208" s="26"/>
      <c r="M208" s="26"/>
      <c r="N208" s="26"/>
      <c r="O208" s="28"/>
      <c r="P208" s="26"/>
      <c r="Q208" s="26"/>
      <c r="R208" s="26"/>
      <c r="S208" s="26"/>
      <c r="T208" s="27"/>
      <c r="U208" s="27"/>
      <c r="V208" s="6">
        <f>SUM(V204,V206)</f>
        <v>9.8810427880722784</v>
      </c>
      <c r="W208" s="27" t="s">
        <v>783</v>
      </c>
      <c r="X208" s="28"/>
      <c r="Y208" s="26"/>
      <c r="Z208" s="26"/>
      <c r="AA208" s="26"/>
      <c r="AB208" s="28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9"/>
    </row>
    <row r="209" spans="2:40" ht="15.75" thickBot="1">
      <c r="B209" s="61"/>
      <c r="C209" s="62"/>
      <c r="D209" s="62"/>
      <c r="E209" s="62"/>
      <c r="F209" s="62"/>
      <c r="G209" s="63"/>
      <c r="H209" s="62"/>
      <c r="I209" s="62"/>
      <c r="J209" s="62"/>
      <c r="K209" s="63"/>
      <c r="L209" s="62"/>
      <c r="M209" s="62"/>
      <c r="N209" s="62"/>
      <c r="O209" s="63"/>
      <c r="P209" s="62"/>
      <c r="Q209" s="62"/>
      <c r="R209" s="62"/>
      <c r="S209" s="62"/>
      <c r="T209" s="241" t="s">
        <v>618</v>
      </c>
      <c r="U209" s="241"/>
      <c r="V209" s="241">
        <f>SUM(W191:W202)</f>
        <v>-7.7205636390353014</v>
      </c>
      <c r="W209" s="241" t="s">
        <v>789</v>
      </c>
      <c r="X209" s="63"/>
      <c r="Y209" s="62"/>
      <c r="Z209" s="62"/>
      <c r="AA209" s="62"/>
      <c r="AB209" s="63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4"/>
    </row>
    <row r="210" spans="2:40">
      <c r="B210" s="26"/>
      <c r="C210" s="2"/>
      <c r="D210" s="2"/>
      <c r="E210" s="2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6"/>
      <c r="S210" s="28"/>
      <c r="T210" s="26"/>
      <c r="U210" s="97"/>
      <c r="V210" s="26"/>
      <c r="W210" s="26"/>
      <c r="X210" s="26"/>
      <c r="Y210" s="26"/>
      <c r="Z210" s="26"/>
      <c r="AA210" s="26"/>
    </row>
    <row r="211" spans="2:40">
      <c r="B211" s="26"/>
      <c r="C211" s="26"/>
      <c r="D211" s="26"/>
      <c r="E211" s="26"/>
      <c r="F211" s="26"/>
      <c r="G211" s="28"/>
      <c r="H211" s="26"/>
      <c r="I211" s="26"/>
      <c r="J211" s="26"/>
      <c r="K211" s="28"/>
      <c r="L211" s="26"/>
      <c r="M211" s="26"/>
      <c r="N211" s="26"/>
      <c r="O211" s="28"/>
      <c r="P211" s="26"/>
      <c r="Q211" s="26"/>
      <c r="R211" s="26"/>
      <c r="S211" s="26"/>
      <c r="T211" s="28"/>
      <c r="U211" s="26"/>
      <c r="V211" s="26"/>
      <c r="W211" s="26"/>
      <c r="X211" s="28"/>
      <c r="Y211" s="26"/>
      <c r="Z211" s="26"/>
      <c r="AA211" s="26"/>
    </row>
    <row r="212" spans="2:40">
      <c r="B212" s="26"/>
      <c r="C212" s="26"/>
      <c r="D212" s="26"/>
      <c r="E212" s="26"/>
      <c r="F212" s="26"/>
      <c r="G212" s="28"/>
      <c r="H212" s="26"/>
      <c r="I212" s="26"/>
      <c r="J212" s="26"/>
      <c r="K212" s="28"/>
      <c r="L212" s="26"/>
      <c r="M212" s="26"/>
      <c r="N212" s="26"/>
      <c r="O212" s="28"/>
      <c r="P212" s="26"/>
      <c r="Q212" s="26"/>
      <c r="R212" s="26"/>
      <c r="S212" s="26"/>
      <c r="T212" s="28"/>
      <c r="U212" s="26"/>
      <c r="V212" s="26"/>
      <c r="W212" s="26"/>
      <c r="X212" s="28"/>
      <c r="Y212" s="26"/>
      <c r="Z212" s="26"/>
      <c r="AA212" s="26"/>
    </row>
    <row r="213" spans="2:40">
      <c r="B213" s="26"/>
      <c r="C213" s="26"/>
      <c r="D213" s="26"/>
      <c r="E213" s="26"/>
      <c r="F213" s="26"/>
      <c r="G213" s="28"/>
      <c r="H213" s="26"/>
      <c r="I213" s="26"/>
      <c r="J213" s="26"/>
      <c r="K213" s="28"/>
      <c r="L213" s="26"/>
      <c r="M213" s="26"/>
      <c r="N213" s="26"/>
      <c r="O213" s="28"/>
      <c r="P213" s="26"/>
      <c r="Q213" s="26"/>
      <c r="R213" s="26"/>
      <c r="S213" s="26"/>
      <c r="T213" s="28"/>
      <c r="U213" s="26"/>
      <c r="V213" s="26"/>
      <c r="W213" s="26"/>
      <c r="X213" s="28"/>
      <c r="Y213" s="26"/>
      <c r="Z213" s="26"/>
      <c r="AA213" s="26"/>
    </row>
    <row r="214" spans="2:40">
      <c r="B214" s="26"/>
      <c r="C214" s="26"/>
      <c r="D214" s="26"/>
      <c r="E214" s="26"/>
      <c r="F214" s="26"/>
      <c r="G214" s="28"/>
      <c r="H214" s="26"/>
      <c r="I214" s="26"/>
      <c r="J214" s="26"/>
      <c r="K214" s="28"/>
      <c r="L214" s="26"/>
      <c r="M214" s="26"/>
      <c r="N214" s="26"/>
      <c r="O214" s="28"/>
      <c r="P214" s="26"/>
      <c r="Q214" s="26"/>
      <c r="R214" s="26"/>
      <c r="S214" s="26"/>
      <c r="T214" s="28"/>
      <c r="U214" s="26"/>
      <c r="V214" s="26"/>
      <c r="W214" s="26"/>
      <c r="X214" s="28"/>
      <c r="Y214" s="26"/>
      <c r="Z214" s="26"/>
      <c r="AA214" s="26"/>
    </row>
    <row r="215" spans="2:40">
      <c r="B215" s="26"/>
      <c r="C215" s="26"/>
      <c r="D215" s="26"/>
      <c r="E215" s="26"/>
      <c r="F215" s="26"/>
      <c r="G215" s="28"/>
      <c r="H215" s="26"/>
      <c r="I215" s="26"/>
      <c r="J215" s="26"/>
      <c r="K215" s="28"/>
      <c r="L215" s="26"/>
      <c r="M215" s="26"/>
      <c r="N215" s="26"/>
      <c r="O215" s="28"/>
      <c r="P215" s="26"/>
      <c r="Q215" s="26"/>
      <c r="R215" s="26"/>
      <c r="S215" s="26"/>
      <c r="T215" s="28"/>
      <c r="U215" s="26"/>
      <c r="V215" s="26"/>
      <c r="W215" s="26"/>
      <c r="X215" s="28"/>
      <c r="Y215" s="26"/>
      <c r="Z215" s="26"/>
      <c r="AA215" s="26"/>
    </row>
  </sheetData>
  <sheetProtection algorithmName="SHA-512" hashValue="kMtk5cl8eJEx7qMOitmjfTKcxSWRpvbTwXFcKbLtIQUXYsfI2+4ZGcUMeA/Cry1oQVaDwo6bNkhB1LL7qF7npg==" saltValue="x7QxHdzFAz3Gv1v1OXzeYw==" spinCount="100000" sheet="1" objects="1" scenarios="1"/>
  <mergeCells count="14">
    <mergeCell ref="S7:U7"/>
    <mergeCell ref="V7:AA7"/>
    <mergeCell ref="R65:S65"/>
    <mergeCell ref="R37:S37"/>
    <mergeCell ref="R38:S38"/>
    <mergeCell ref="R39:V39"/>
    <mergeCell ref="R41:R44"/>
    <mergeCell ref="R46:R51"/>
    <mergeCell ref="R54:R56"/>
    <mergeCell ref="R58:S58"/>
    <mergeCell ref="R59:S59"/>
    <mergeCell ref="R61:S61"/>
    <mergeCell ref="R62:S62"/>
    <mergeCell ref="R64:S64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D220-4558-412B-8F80-F47A82C59F24}">
  <dimension ref="B1:AN174"/>
  <sheetViews>
    <sheetView topLeftCell="A16" zoomScaleNormal="100" workbookViewId="0">
      <selection activeCell="J21" sqref="J21"/>
    </sheetView>
  </sheetViews>
  <sheetFormatPr defaultRowHeight="15"/>
  <cols>
    <col min="1" max="1" width="4.75" style="9" customWidth="1"/>
    <col min="2" max="2" width="10.625" style="9" customWidth="1"/>
    <col min="3" max="3" width="9.625" style="9" customWidth="1"/>
    <col min="4" max="4" width="10.375" style="9" customWidth="1"/>
    <col min="5" max="5" width="9" style="9"/>
    <col min="6" max="6" width="10.625" style="9" customWidth="1"/>
    <col min="7" max="7" width="9.625" style="12" customWidth="1"/>
    <col min="8" max="8" width="13.25" style="9" bestFit="1" customWidth="1"/>
    <col min="9" max="9" width="9.75" style="9" bestFit="1" customWidth="1"/>
    <col min="10" max="10" width="10.625" style="9" customWidth="1"/>
    <col min="11" max="11" width="9.625" style="12" customWidth="1"/>
    <col min="12" max="12" width="12.5" style="9" bestFit="1" customWidth="1"/>
    <col min="13" max="13" width="14.875" style="9" bestFit="1" customWidth="1"/>
    <col min="14" max="14" width="10.625" style="9" customWidth="1"/>
    <col min="15" max="15" width="9.625" style="12" customWidth="1"/>
    <col min="16" max="16" width="10.5" style="9" bestFit="1" customWidth="1"/>
    <col min="17" max="17" width="14.125" style="9" bestFit="1" customWidth="1"/>
    <col min="18" max="18" width="10.875" style="9" bestFit="1" customWidth="1"/>
    <col min="19" max="19" width="15.625" style="9" customWidth="1"/>
    <col min="20" max="20" width="14.75" style="12" bestFit="1" customWidth="1"/>
    <col min="21" max="21" width="10.5" style="9" bestFit="1" customWidth="1"/>
    <col min="22" max="22" width="12.25" style="9" bestFit="1" customWidth="1"/>
    <col min="23" max="23" width="16" style="9" bestFit="1" customWidth="1"/>
    <col min="24" max="24" width="12.75" style="12" bestFit="1" customWidth="1"/>
    <col min="25" max="25" width="9.125" style="9" bestFit="1" customWidth="1"/>
    <col min="26" max="26" width="9" style="9"/>
    <col min="27" max="27" width="11.125" style="9" bestFit="1" customWidth="1"/>
    <col min="28" max="28" width="11.875" style="12" bestFit="1" customWidth="1"/>
    <col min="29" max="31" width="9" style="9"/>
    <col min="32" max="32" width="9.125" style="9" bestFit="1" customWidth="1"/>
    <col min="33" max="35" width="9" style="9"/>
    <col min="36" max="36" width="9.625" style="9" bestFit="1" customWidth="1"/>
    <col min="37" max="37" width="9" style="9"/>
    <col min="38" max="38" width="9.125" style="9" bestFit="1" customWidth="1"/>
    <col min="39" max="16384" width="9" style="9"/>
  </cols>
  <sheetData>
    <row r="1" spans="2:40">
      <c r="B1" s="8"/>
      <c r="C1" s="9" t="s">
        <v>176</v>
      </c>
      <c r="D1" s="11"/>
      <c r="E1" s="9" t="s">
        <v>104</v>
      </c>
      <c r="F1" s="119"/>
      <c r="G1" s="12" t="s">
        <v>194</v>
      </c>
      <c r="H1" s="13"/>
      <c r="I1" s="9" t="s">
        <v>192</v>
      </c>
      <c r="K1" s="288"/>
      <c r="L1" s="9" t="s">
        <v>653</v>
      </c>
    </row>
    <row r="2" spans="2:40" s="10" customFormat="1">
      <c r="G2" s="14"/>
      <c r="J2" s="15"/>
      <c r="K2" s="14"/>
      <c r="O2" s="14"/>
      <c r="T2" s="14"/>
      <c r="X2" s="14"/>
      <c r="AB2" s="14"/>
    </row>
    <row r="3" spans="2:40">
      <c r="B3" s="16" t="s">
        <v>183</v>
      </c>
    </row>
    <row r="4" spans="2:40" ht="15.75" thickBot="1">
      <c r="B4" s="17" t="s">
        <v>185</v>
      </c>
      <c r="R4" s="17" t="s">
        <v>186</v>
      </c>
    </row>
    <row r="5" spans="2:40">
      <c r="B5" s="18" t="s">
        <v>534</v>
      </c>
      <c r="C5" s="19"/>
      <c r="D5" s="19"/>
      <c r="E5" s="19"/>
      <c r="F5" s="20" t="s">
        <v>8</v>
      </c>
      <c r="G5" s="21"/>
      <c r="H5" s="19"/>
      <c r="I5" s="19"/>
      <c r="J5" s="19"/>
      <c r="K5" s="21"/>
      <c r="L5" s="19"/>
      <c r="M5" s="19"/>
      <c r="N5" s="19"/>
      <c r="O5" s="21"/>
      <c r="P5" s="22"/>
      <c r="R5" s="23" t="s">
        <v>627</v>
      </c>
      <c r="S5" s="19"/>
      <c r="T5" s="24"/>
      <c r="U5" s="19"/>
      <c r="V5" s="19"/>
      <c r="W5" s="19"/>
      <c r="X5" s="21"/>
      <c r="Y5" s="19"/>
      <c r="Z5" s="19"/>
      <c r="AA5" s="19"/>
      <c r="AB5" s="21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22"/>
    </row>
    <row r="6" spans="2:40">
      <c r="B6" s="25"/>
      <c r="C6" s="26"/>
      <c r="D6" s="26"/>
      <c r="E6" s="26"/>
      <c r="F6" s="27" t="s">
        <v>9</v>
      </c>
      <c r="G6" s="28"/>
      <c r="H6" s="26"/>
      <c r="I6" s="26"/>
      <c r="J6" s="27" t="s">
        <v>184</v>
      </c>
      <c r="K6" s="28"/>
      <c r="L6" s="26"/>
      <c r="M6" s="26"/>
      <c r="N6" s="27" t="s">
        <v>39</v>
      </c>
      <c r="O6" s="28"/>
      <c r="P6" s="29"/>
      <c r="R6" s="30" t="s">
        <v>138</v>
      </c>
      <c r="S6" s="26"/>
      <c r="T6" s="6"/>
      <c r="U6" s="26"/>
      <c r="V6" s="26"/>
      <c r="W6" s="26"/>
      <c r="X6" s="28"/>
      <c r="Y6" s="26"/>
      <c r="Z6" s="26"/>
      <c r="AA6" s="26"/>
      <c r="AB6" s="28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9"/>
    </row>
    <row r="7" spans="2:40">
      <c r="B7" s="31" t="s">
        <v>1</v>
      </c>
      <c r="C7" s="400">
        <v>22352</v>
      </c>
      <c r="D7" s="33" t="s">
        <v>4</v>
      </c>
      <c r="E7" s="26"/>
      <c r="F7" s="26"/>
      <c r="G7" s="28"/>
      <c r="H7" s="26"/>
      <c r="I7" s="26"/>
      <c r="J7" s="26"/>
      <c r="K7" s="28"/>
      <c r="L7" s="26"/>
      <c r="M7" s="26"/>
      <c r="N7" s="26"/>
      <c r="O7" s="28"/>
      <c r="P7" s="29"/>
      <c r="R7" s="30" t="s">
        <v>572</v>
      </c>
      <c r="S7" s="35"/>
      <c r="T7" s="28"/>
      <c r="U7" s="36"/>
      <c r="V7" s="26"/>
      <c r="W7" s="27" t="s">
        <v>163</v>
      </c>
      <c r="X7" s="28"/>
      <c r="Y7" s="26"/>
      <c r="Z7" s="26"/>
      <c r="AA7" s="27" t="s">
        <v>175</v>
      </c>
      <c r="AB7" s="28"/>
      <c r="AC7" s="26"/>
      <c r="AD7" s="26"/>
      <c r="AE7" s="27" t="s">
        <v>182</v>
      </c>
      <c r="AF7" s="26"/>
      <c r="AG7" s="26"/>
      <c r="AH7" s="26"/>
      <c r="AI7" s="26"/>
      <c r="AJ7" s="26"/>
      <c r="AK7" s="26"/>
      <c r="AL7" s="26"/>
      <c r="AM7" s="26"/>
      <c r="AN7" s="29"/>
    </row>
    <row r="8" spans="2:40" ht="16.5">
      <c r="B8" s="31"/>
      <c r="C8" s="32">
        <f>C7/24</f>
        <v>931.33333333333337</v>
      </c>
      <c r="D8" s="33" t="s">
        <v>6</v>
      </c>
      <c r="E8" s="26"/>
      <c r="F8" s="36" t="s">
        <v>18</v>
      </c>
      <c r="G8" s="28">
        <v>4</v>
      </c>
      <c r="H8" s="26" t="s">
        <v>10</v>
      </c>
      <c r="I8" s="26"/>
      <c r="J8" s="36" t="s">
        <v>1</v>
      </c>
      <c r="K8" s="28">
        <f>C7*G11/100</f>
        <v>20597.367999999999</v>
      </c>
      <c r="L8" s="26" t="s">
        <v>4</v>
      </c>
      <c r="M8" s="26"/>
      <c r="N8" s="36" t="s">
        <v>1</v>
      </c>
      <c r="O8" s="28">
        <f>K8*K15/100</f>
        <v>20597.367999999999</v>
      </c>
      <c r="P8" s="29" t="s">
        <v>4</v>
      </c>
      <c r="R8" s="34"/>
      <c r="S8" s="36" t="s">
        <v>139</v>
      </c>
      <c r="T8" s="28">
        <v>1</v>
      </c>
      <c r="U8" s="36" t="s">
        <v>12</v>
      </c>
      <c r="V8" s="26"/>
      <c r="W8" s="36" t="s">
        <v>1</v>
      </c>
      <c r="X8" s="37">
        <f>O9</f>
        <v>858.22366666666665</v>
      </c>
      <c r="Y8" s="36" t="s">
        <v>147</v>
      </c>
      <c r="Z8" s="26"/>
      <c r="AA8" s="3" t="s">
        <v>771</v>
      </c>
      <c r="AB8" s="28">
        <v>190</v>
      </c>
      <c r="AC8" s="36" t="s">
        <v>198</v>
      </c>
      <c r="AD8" s="26"/>
      <c r="AE8" s="9" t="s">
        <v>252</v>
      </c>
      <c r="AF8" s="6">
        <f>AB11*24/1000</f>
        <v>19.567499599999998</v>
      </c>
      <c r="AG8" s="35" t="s">
        <v>41</v>
      </c>
      <c r="AH8" s="26"/>
      <c r="AI8" s="26"/>
      <c r="AJ8" s="26"/>
      <c r="AK8" s="26"/>
      <c r="AL8" s="26"/>
      <c r="AM8" s="26"/>
      <c r="AN8" s="29"/>
    </row>
    <row r="9" spans="2:40" ht="16.5">
      <c r="B9" s="34"/>
      <c r="C9" s="96">
        <f>C7/SUM(C7,C10)</f>
        <v>0.24914173614516921</v>
      </c>
      <c r="D9" s="9" t="s">
        <v>778</v>
      </c>
      <c r="E9" s="26"/>
      <c r="F9" s="38" t="s">
        <v>26</v>
      </c>
      <c r="G9" s="39">
        <v>30</v>
      </c>
      <c r="H9" s="40" t="s">
        <v>14</v>
      </c>
      <c r="I9" s="26"/>
      <c r="J9" s="36"/>
      <c r="K9" s="28">
        <f>K8/24</f>
        <v>858.22366666666665</v>
      </c>
      <c r="L9" s="26" t="s">
        <v>6</v>
      </c>
      <c r="M9" s="26"/>
      <c r="N9" s="36"/>
      <c r="O9" s="28">
        <f>O8/24</f>
        <v>858.22366666666665</v>
      </c>
      <c r="P9" s="29" t="s">
        <v>5</v>
      </c>
      <c r="R9" s="34"/>
      <c r="S9" s="38" t="s">
        <v>146</v>
      </c>
      <c r="T9" s="39">
        <f>O13-(O8*T8/100)</f>
        <v>2265.7104799999997</v>
      </c>
      <c r="U9" s="38" t="s">
        <v>20</v>
      </c>
      <c r="V9" s="26"/>
      <c r="W9" s="36" t="s">
        <v>25</v>
      </c>
      <c r="X9" s="37">
        <f>O9*(T8/100)</f>
        <v>8.5822366666666667</v>
      </c>
      <c r="Y9" s="36" t="s">
        <v>147</v>
      </c>
      <c r="Z9" s="26"/>
      <c r="AA9" s="3" t="s">
        <v>772</v>
      </c>
      <c r="AB9" s="28">
        <v>40</v>
      </c>
      <c r="AC9" s="36" t="s">
        <v>198</v>
      </c>
      <c r="AD9" s="26"/>
      <c r="AE9" s="9" t="s">
        <v>226</v>
      </c>
      <c r="AF9" s="28">
        <f>X8*(1-(AB10/100))/1000*24</f>
        <v>1.0298684000000007</v>
      </c>
      <c r="AG9" s="35" t="s">
        <v>41</v>
      </c>
      <c r="AH9" s="26"/>
      <c r="AI9" s="26"/>
      <c r="AJ9" s="26"/>
      <c r="AK9" s="26"/>
      <c r="AL9" s="26"/>
      <c r="AM9" s="26"/>
      <c r="AN9" s="29"/>
    </row>
    <row r="10" spans="2:40">
      <c r="B10" s="31" t="s">
        <v>2</v>
      </c>
      <c r="C10" s="400">
        <v>67364</v>
      </c>
      <c r="D10" s="33" t="s">
        <v>4</v>
      </c>
      <c r="E10" s="26"/>
      <c r="F10" s="38"/>
      <c r="G10" s="39">
        <f>C10*G9/100</f>
        <v>20209.2</v>
      </c>
      <c r="H10" s="40" t="s">
        <v>162</v>
      </c>
      <c r="I10" s="26"/>
      <c r="J10" s="36" t="s">
        <v>2</v>
      </c>
      <c r="K10" s="28">
        <f>C10*(1-G11/100)</f>
        <v>5288.0740000000087</v>
      </c>
      <c r="L10" s="26" t="s">
        <v>4</v>
      </c>
      <c r="M10" s="26"/>
      <c r="N10" s="36" t="s">
        <v>2</v>
      </c>
      <c r="O10" s="28">
        <f>K10*(1-K16/100)</f>
        <v>21.152296000000053</v>
      </c>
      <c r="P10" s="29" t="s">
        <v>4</v>
      </c>
      <c r="R10" s="34"/>
      <c r="S10" s="38"/>
      <c r="T10" s="41">
        <f>T9/24</f>
        <v>94.404603333333327</v>
      </c>
      <c r="U10" s="42" t="s">
        <v>147</v>
      </c>
      <c r="V10" s="26"/>
      <c r="W10" s="36" t="s">
        <v>2</v>
      </c>
      <c r="X10" s="37" t="s">
        <v>158</v>
      </c>
      <c r="Y10" s="36"/>
      <c r="Z10" s="26"/>
      <c r="AA10" s="264" t="s">
        <v>181</v>
      </c>
      <c r="AB10" s="265">
        <f>I24</f>
        <v>95</v>
      </c>
      <c r="AC10" s="264" t="s">
        <v>12</v>
      </c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9"/>
    </row>
    <row r="11" spans="2:40" ht="16.5">
      <c r="B11" s="31"/>
      <c r="C11" s="32">
        <f>C10/24</f>
        <v>2806.8333333333335</v>
      </c>
      <c r="D11" s="33" t="s">
        <v>5</v>
      </c>
      <c r="E11" s="26"/>
      <c r="F11" s="43" t="s">
        <v>27</v>
      </c>
      <c r="G11" s="44">
        <f>97*0.95</f>
        <v>92.149999999999991</v>
      </c>
      <c r="H11" s="45" t="s">
        <v>12</v>
      </c>
      <c r="I11" s="26"/>
      <c r="J11" s="36"/>
      <c r="K11" s="28">
        <f>K10/24</f>
        <v>220.33641666666702</v>
      </c>
      <c r="L11" s="26" t="s">
        <v>5</v>
      </c>
      <c r="M11" s="26"/>
      <c r="N11" s="36"/>
      <c r="O11" s="28">
        <f>O10/24</f>
        <v>0.88134566666666891</v>
      </c>
      <c r="P11" s="29" t="s">
        <v>5</v>
      </c>
      <c r="R11" s="34"/>
      <c r="S11" s="36" t="s">
        <v>140</v>
      </c>
      <c r="T11" s="28">
        <v>75</v>
      </c>
      <c r="U11" s="36" t="s">
        <v>198</v>
      </c>
      <c r="V11" s="26"/>
      <c r="W11" s="36"/>
      <c r="X11" s="28"/>
      <c r="Y11" s="36"/>
      <c r="Z11" s="26"/>
      <c r="AA11" s="2" t="s">
        <v>164</v>
      </c>
      <c r="AB11" s="6">
        <f>X8*(AB10/100)</f>
        <v>815.31248333333326</v>
      </c>
      <c r="AC11" s="2" t="s">
        <v>165</v>
      </c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9"/>
    </row>
    <row r="12" spans="2:40">
      <c r="B12" s="31"/>
      <c r="C12" s="96">
        <f>C10/SUM(C10,C7)</f>
        <v>0.75085826385483079</v>
      </c>
      <c r="D12" s="9" t="s">
        <v>778</v>
      </c>
      <c r="E12" s="26"/>
      <c r="F12" s="36"/>
      <c r="G12" s="28"/>
      <c r="H12" s="26"/>
      <c r="I12" s="26"/>
      <c r="J12" s="38" t="s">
        <v>31</v>
      </c>
      <c r="K12" s="39">
        <v>100</v>
      </c>
      <c r="L12" s="40" t="s">
        <v>24</v>
      </c>
      <c r="M12" s="26"/>
      <c r="N12" s="43" t="s">
        <v>40</v>
      </c>
      <c r="O12" s="400">
        <v>12</v>
      </c>
      <c r="P12" s="46" t="s">
        <v>12</v>
      </c>
      <c r="R12" s="34"/>
      <c r="S12" s="43" t="s">
        <v>141</v>
      </c>
      <c r="T12" s="44">
        <f>C23</f>
        <v>60</v>
      </c>
      <c r="U12" s="43" t="s">
        <v>12</v>
      </c>
      <c r="V12" s="26"/>
      <c r="W12" s="3" t="s">
        <v>164</v>
      </c>
      <c r="X12" s="28">
        <f>SUM(X8:X9)</f>
        <v>866.80590333333328</v>
      </c>
      <c r="Y12" s="3" t="s">
        <v>165</v>
      </c>
      <c r="Z12" s="26"/>
      <c r="AA12" s="47" t="s">
        <v>661</v>
      </c>
      <c r="AB12" s="44">
        <f>C22</f>
        <v>60</v>
      </c>
      <c r="AC12" s="47" t="s">
        <v>168</v>
      </c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9"/>
    </row>
    <row r="13" spans="2:40" ht="16.5">
      <c r="B13" s="31" t="s">
        <v>17</v>
      </c>
      <c r="C13" s="400">
        <v>1.33</v>
      </c>
      <c r="D13" s="33" t="s">
        <v>19</v>
      </c>
      <c r="E13" s="26"/>
      <c r="F13" s="48"/>
      <c r="G13" s="9"/>
      <c r="I13" s="26"/>
      <c r="J13" s="38" t="s">
        <v>26</v>
      </c>
      <c r="K13" s="39">
        <f>K12*K8/100</f>
        <v>20597.367999999999</v>
      </c>
      <c r="L13" s="40" t="s">
        <v>20</v>
      </c>
      <c r="M13" s="26"/>
      <c r="N13" s="36" t="s">
        <v>137</v>
      </c>
      <c r="O13" s="28">
        <f>O12/100*O8</f>
        <v>2471.6841599999998</v>
      </c>
      <c r="P13" s="29" t="s">
        <v>20</v>
      </c>
      <c r="R13" s="34"/>
      <c r="S13" s="36"/>
      <c r="T13" s="28"/>
      <c r="U13" s="36"/>
      <c r="V13" s="26"/>
      <c r="W13" s="3" t="s">
        <v>166</v>
      </c>
      <c r="X13" s="28">
        <v>45</v>
      </c>
      <c r="Y13" s="36" t="s">
        <v>198</v>
      </c>
      <c r="Z13" s="26"/>
      <c r="AA13" s="3" t="s">
        <v>177</v>
      </c>
      <c r="AB13" s="28">
        <f>AB11*T32*(AB8-AB9)/(AB12/100)</f>
        <v>203828.12083333332</v>
      </c>
      <c r="AC13" s="3" t="s">
        <v>173</v>
      </c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9"/>
    </row>
    <row r="14" spans="2:40" ht="16.5">
      <c r="B14" s="31" t="s">
        <v>15</v>
      </c>
      <c r="C14" s="400">
        <v>0.87</v>
      </c>
      <c r="D14" s="33" t="s">
        <v>16</v>
      </c>
      <c r="E14" s="26"/>
      <c r="F14" s="36"/>
      <c r="G14" s="28"/>
      <c r="H14" s="26"/>
      <c r="I14" s="26"/>
      <c r="J14" s="38" t="s">
        <v>533</v>
      </c>
      <c r="K14" s="39">
        <f>K13*(0.25/100)</f>
        <v>51.49342</v>
      </c>
      <c r="L14" s="40" t="s">
        <v>13</v>
      </c>
      <c r="M14" s="26"/>
      <c r="N14" s="36"/>
      <c r="O14" s="28"/>
      <c r="P14" s="29"/>
      <c r="R14" s="34" t="s">
        <v>758</v>
      </c>
      <c r="S14" s="36" t="s">
        <v>142</v>
      </c>
      <c r="T14" s="28">
        <v>1</v>
      </c>
      <c r="U14" s="36" t="s">
        <v>199</v>
      </c>
      <c r="V14" s="26"/>
      <c r="W14" s="3" t="s">
        <v>167</v>
      </c>
      <c r="X14" s="28">
        <v>190</v>
      </c>
      <c r="Y14" s="36" t="s">
        <v>198</v>
      </c>
      <c r="Z14" s="26"/>
      <c r="AA14" s="3" t="s">
        <v>178</v>
      </c>
      <c r="AB14" s="28">
        <f>AB11*X18*X17/(AB12/100)</f>
        <v>27802.155681666663</v>
      </c>
      <c r="AC14" s="3" t="s">
        <v>173</v>
      </c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9"/>
    </row>
    <row r="15" spans="2:40" ht="15.75" thickBot="1">
      <c r="B15" s="31" t="s">
        <v>21</v>
      </c>
      <c r="C15" s="400">
        <v>78.400000000000006</v>
      </c>
      <c r="D15" s="33" t="s">
        <v>12</v>
      </c>
      <c r="E15" s="26"/>
      <c r="F15" s="36"/>
      <c r="G15" s="28"/>
      <c r="H15" s="26"/>
      <c r="I15" s="26"/>
      <c r="J15" s="43" t="s">
        <v>29</v>
      </c>
      <c r="K15" s="44">
        <v>100</v>
      </c>
      <c r="L15" s="45" t="s">
        <v>12</v>
      </c>
      <c r="M15" s="26"/>
      <c r="N15" s="36"/>
      <c r="O15" s="28"/>
      <c r="P15" s="29"/>
      <c r="R15" s="34" t="s">
        <v>759</v>
      </c>
      <c r="S15" s="36" t="s">
        <v>143</v>
      </c>
      <c r="T15" s="28">
        <v>540</v>
      </c>
      <c r="U15" s="36" t="s">
        <v>145</v>
      </c>
      <c r="V15" s="26"/>
      <c r="W15" s="47" t="s">
        <v>736</v>
      </c>
      <c r="X15" s="44">
        <f>C24</f>
        <v>70</v>
      </c>
      <c r="Y15" s="47" t="s">
        <v>168</v>
      </c>
      <c r="Z15" s="26"/>
      <c r="AA15" s="3" t="s">
        <v>773</v>
      </c>
      <c r="AB15" s="6">
        <f>SUM(AB13:AB14)</f>
        <v>231630.27651499998</v>
      </c>
      <c r="AC15" s="2" t="s">
        <v>173</v>
      </c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9"/>
    </row>
    <row r="16" spans="2:40" ht="15.75" thickBot="1">
      <c r="B16" s="31" t="s">
        <v>22</v>
      </c>
      <c r="C16" s="400">
        <v>0.27500000000000002</v>
      </c>
      <c r="D16" s="33" t="s">
        <v>121</v>
      </c>
      <c r="E16" s="26"/>
      <c r="F16" s="50" t="s">
        <v>104</v>
      </c>
      <c r="G16" s="51">
        <f>36*2+(50*3.6)</f>
        <v>252</v>
      </c>
      <c r="H16" s="52" t="s">
        <v>109</v>
      </c>
      <c r="I16" s="26"/>
      <c r="J16" s="43" t="s">
        <v>28</v>
      </c>
      <c r="K16" s="44">
        <v>99.6</v>
      </c>
      <c r="L16" s="45" t="s">
        <v>12</v>
      </c>
      <c r="M16" s="26"/>
      <c r="N16" s="36" t="s">
        <v>777</v>
      </c>
      <c r="O16" s="96">
        <f>O10/(O8+O10)</f>
        <v>1.0258881673532901E-3</v>
      </c>
      <c r="P16" s="29" t="s">
        <v>787</v>
      </c>
      <c r="R16" s="34"/>
      <c r="S16" s="36"/>
      <c r="T16" s="28"/>
      <c r="U16" s="36"/>
      <c r="V16" s="26"/>
      <c r="W16" s="3" t="s">
        <v>169</v>
      </c>
      <c r="X16" s="28">
        <v>1.8</v>
      </c>
      <c r="Y16" s="3" t="s">
        <v>170</v>
      </c>
      <c r="Z16" s="26"/>
      <c r="AA16" s="3"/>
      <c r="AB16" s="6">
        <f>AB15/1000*24</f>
        <v>5559.1266363599989</v>
      </c>
      <c r="AC16" s="2" t="s">
        <v>109</v>
      </c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9"/>
    </row>
    <row r="17" spans="2:40" ht="15.75" thickBot="1">
      <c r="B17" s="31" t="s">
        <v>23</v>
      </c>
      <c r="C17" s="400">
        <v>0.24199999999999999</v>
      </c>
      <c r="D17" s="33" t="s">
        <v>122</v>
      </c>
      <c r="E17" s="26"/>
      <c r="F17" s="33"/>
      <c r="G17" s="32"/>
      <c r="H17" s="33"/>
      <c r="I17" s="26"/>
      <c r="J17" s="36" t="s">
        <v>240</v>
      </c>
      <c r="K17" s="28"/>
      <c r="L17" s="26"/>
      <c r="M17" s="26"/>
      <c r="N17" s="36" t="s">
        <v>776</v>
      </c>
      <c r="O17" s="96">
        <f>1-O16</f>
        <v>0.99897411183264673</v>
      </c>
      <c r="P17" s="29" t="s">
        <v>787</v>
      </c>
      <c r="R17" s="34"/>
      <c r="S17" s="36" t="s">
        <v>741</v>
      </c>
      <c r="T17" s="6">
        <f>T10*((T14*(T11-C18))+T15)/(T12/100)</f>
        <v>94797.955847222227</v>
      </c>
      <c r="U17" s="36" t="s">
        <v>149</v>
      </c>
      <c r="V17" s="26"/>
      <c r="W17" s="350" t="s">
        <v>768</v>
      </c>
      <c r="X17" s="28">
        <v>93</v>
      </c>
      <c r="Y17" s="3" t="s">
        <v>171</v>
      </c>
      <c r="Z17" s="26"/>
      <c r="AA17" s="47" t="s">
        <v>678</v>
      </c>
      <c r="AB17" s="44">
        <f>C21</f>
        <v>1.3</v>
      </c>
      <c r="AC17" s="47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9"/>
    </row>
    <row r="18" spans="2:40" ht="17.25" thickBot="1">
      <c r="B18" s="25" t="s">
        <v>535</v>
      </c>
      <c r="C18" s="400">
        <v>12.5</v>
      </c>
      <c r="D18" s="156" t="s">
        <v>180</v>
      </c>
      <c r="E18" s="26"/>
      <c r="F18" s="33"/>
      <c r="G18" s="32"/>
      <c r="H18" s="33"/>
      <c r="I18" s="26"/>
      <c r="J18" s="50" t="s">
        <v>104</v>
      </c>
      <c r="K18" s="51">
        <v>2966</v>
      </c>
      <c r="L18" s="52" t="s">
        <v>109</v>
      </c>
      <c r="M18" s="26"/>
      <c r="N18" s="36"/>
      <c r="O18" s="28"/>
      <c r="P18" s="29"/>
      <c r="R18" s="34"/>
      <c r="S18" s="53" t="s">
        <v>194</v>
      </c>
      <c r="T18" s="54">
        <f>T17*24*0.004184</f>
        <v>9519.231534354667</v>
      </c>
      <c r="U18" s="55" t="s">
        <v>109</v>
      </c>
      <c r="V18" s="26"/>
      <c r="W18" s="3" t="s">
        <v>172</v>
      </c>
      <c r="X18" s="28">
        <v>0.22</v>
      </c>
      <c r="Y18" s="3">
        <v>0.22</v>
      </c>
      <c r="Z18" s="26"/>
      <c r="AA18" s="50" t="s">
        <v>161</v>
      </c>
      <c r="AB18" s="51">
        <f>AB16*AB17</f>
        <v>7226.8646272679989</v>
      </c>
      <c r="AC18" s="56" t="s">
        <v>109</v>
      </c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9"/>
    </row>
    <row r="19" spans="2:40" ht="17.25" thickBot="1">
      <c r="B19" s="25"/>
      <c r="C19" s="28"/>
      <c r="D19" s="26"/>
      <c r="E19" s="26"/>
      <c r="F19" s="33"/>
      <c r="G19" s="32"/>
      <c r="H19" s="33"/>
      <c r="I19" s="26"/>
      <c r="J19" s="50" t="s">
        <v>250</v>
      </c>
      <c r="K19" s="51">
        <v>163.19999999999999</v>
      </c>
      <c r="L19" s="52" t="s">
        <v>109</v>
      </c>
      <c r="M19" s="26"/>
      <c r="N19" s="36"/>
      <c r="O19" s="28"/>
      <c r="P19" s="29"/>
      <c r="R19" s="34"/>
      <c r="S19" s="36"/>
      <c r="T19" s="28"/>
      <c r="U19" s="36"/>
      <c r="V19" s="26"/>
      <c r="W19" s="36"/>
      <c r="X19" s="28"/>
      <c r="Y19" s="36"/>
      <c r="Z19" s="26"/>
      <c r="AA19" s="57" t="s">
        <v>195</v>
      </c>
      <c r="AB19" s="51">
        <f>AB18/10</f>
        <v>722.68646272679985</v>
      </c>
      <c r="AC19" s="58" t="s">
        <v>109</v>
      </c>
      <c r="AD19" s="36" t="s">
        <v>200</v>
      </c>
      <c r="AE19" s="26"/>
      <c r="AF19" s="26"/>
      <c r="AG19" s="26"/>
      <c r="AH19" s="26"/>
      <c r="AI19" s="26"/>
      <c r="AJ19" s="26"/>
      <c r="AK19" s="26"/>
      <c r="AL19" s="26"/>
      <c r="AM19" s="26"/>
      <c r="AN19" s="29"/>
    </row>
    <row r="20" spans="2:40" ht="15.75" thickBot="1">
      <c r="B20" s="253" t="s">
        <v>631</v>
      </c>
      <c r="C20" s="26" t="s">
        <v>632</v>
      </c>
      <c r="D20" s="26"/>
      <c r="E20" s="26"/>
      <c r="F20" s="26"/>
      <c r="G20" s="28"/>
      <c r="H20" s="26"/>
      <c r="I20" s="26"/>
      <c r="M20" s="26"/>
      <c r="N20" s="36"/>
      <c r="O20" s="28"/>
      <c r="P20" s="29"/>
      <c r="R20" s="34"/>
      <c r="S20" s="36" t="s">
        <v>150</v>
      </c>
      <c r="T20" s="28">
        <f>T17/100</f>
        <v>947.97955847222227</v>
      </c>
      <c r="U20" s="36" t="s">
        <v>149</v>
      </c>
      <c r="V20" s="26"/>
      <c r="W20" s="36"/>
      <c r="X20" s="28"/>
      <c r="Y20" s="36"/>
      <c r="Z20" s="26"/>
      <c r="AB20" s="9"/>
      <c r="AC20" s="48"/>
      <c r="AE20" s="26"/>
      <c r="AF20" s="26"/>
      <c r="AG20" s="26"/>
      <c r="AH20" s="26"/>
      <c r="AI20" s="26"/>
      <c r="AJ20" s="26"/>
      <c r="AK20" s="26"/>
      <c r="AL20" s="26"/>
      <c r="AM20" s="26"/>
      <c r="AN20" s="29"/>
    </row>
    <row r="21" spans="2:40" ht="17.25" thickBot="1">
      <c r="B21" s="254" t="s">
        <v>635</v>
      </c>
      <c r="C21" s="401">
        <v>1.3</v>
      </c>
      <c r="D21" s="255"/>
      <c r="E21" s="259" t="s">
        <v>634</v>
      </c>
      <c r="F21" s="403">
        <v>86</v>
      </c>
      <c r="G21" s="255" t="s">
        <v>638</v>
      </c>
      <c r="H21" s="259" t="s">
        <v>642</v>
      </c>
      <c r="I21" s="403">
        <v>30</v>
      </c>
      <c r="J21" s="255" t="s">
        <v>638</v>
      </c>
      <c r="K21" s="32"/>
      <c r="L21" s="35" t="s">
        <v>815</v>
      </c>
      <c r="M21" s="32"/>
      <c r="N21" s="33"/>
      <c r="O21" s="33"/>
      <c r="P21" s="29"/>
      <c r="R21" s="34"/>
      <c r="S21" s="50" t="s">
        <v>150</v>
      </c>
      <c r="T21" s="51">
        <f>T20*24*0.004184</f>
        <v>95.192315343546667</v>
      </c>
      <c r="U21" s="52" t="s">
        <v>109</v>
      </c>
      <c r="V21" s="26"/>
      <c r="W21" s="7" t="s">
        <v>770</v>
      </c>
      <c r="X21" s="28">
        <f>X12*X16*(X14-X13)/(X15/100)</f>
        <v>323194.77252857148</v>
      </c>
      <c r="Y21" s="3" t="s">
        <v>173</v>
      </c>
      <c r="Z21" s="26"/>
      <c r="AA21" s="36"/>
      <c r="AB21" s="28"/>
      <c r="AC21" s="3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9"/>
    </row>
    <row r="22" spans="2:40">
      <c r="B22" s="60" t="s">
        <v>584</v>
      </c>
      <c r="C22" s="400">
        <v>60</v>
      </c>
      <c r="D22" s="256" t="s">
        <v>638</v>
      </c>
      <c r="E22" s="260" t="s">
        <v>637</v>
      </c>
      <c r="F22" s="404">
        <v>30</v>
      </c>
      <c r="G22" s="256" t="s">
        <v>638</v>
      </c>
      <c r="H22" s="260" t="s">
        <v>650</v>
      </c>
      <c r="I22" s="404">
        <v>50</v>
      </c>
      <c r="J22" s="256" t="s">
        <v>638</v>
      </c>
      <c r="K22" s="32"/>
      <c r="L22" s="367" t="s">
        <v>812</v>
      </c>
      <c r="M22" s="372" t="s">
        <v>813</v>
      </c>
      <c r="N22" s="373" t="s">
        <v>320</v>
      </c>
      <c r="O22" s="374" t="s">
        <v>814</v>
      </c>
      <c r="P22" s="29"/>
      <c r="R22" s="34"/>
      <c r="S22" s="36"/>
      <c r="T22" s="28"/>
      <c r="U22" s="36"/>
      <c r="V22" s="26"/>
      <c r="W22" s="351" t="s">
        <v>769</v>
      </c>
      <c r="X22" s="28">
        <f>X12*X17*X18/(X15/100)</f>
        <v>25335.498260285713</v>
      </c>
      <c r="Y22" s="3" t="s">
        <v>173</v>
      </c>
      <c r="Z22" s="26"/>
      <c r="AA22" s="36"/>
      <c r="AB22" s="28"/>
      <c r="AC22" s="3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9"/>
    </row>
    <row r="23" spans="2:40">
      <c r="B23" s="60" t="s">
        <v>258</v>
      </c>
      <c r="C23" s="400">
        <v>60</v>
      </c>
      <c r="D23" s="256" t="s">
        <v>638</v>
      </c>
      <c r="E23" s="260" t="s">
        <v>639</v>
      </c>
      <c r="F23" s="404">
        <v>75</v>
      </c>
      <c r="G23" s="261" t="s">
        <v>640</v>
      </c>
      <c r="H23" s="260" t="s">
        <v>644</v>
      </c>
      <c r="I23" s="404">
        <v>86</v>
      </c>
      <c r="J23" s="261" t="s">
        <v>646</v>
      </c>
      <c r="K23" s="28"/>
      <c r="L23" s="368" t="s">
        <v>810</v>
      </c>
      <c r="M23" s="28">
        <v>86.071133651817703</v>
      </c>
      <c r="N23" s="370">
        <v>83.615075250484296</v>
      </c>
      <c r="O23" s="230">
        <v>59.843762978422397</v>
      </c>
      <c r="P23" s="29"/>
      <c r="R23" s="34"/>
      <c r="S23" s="36"/>
      <c r="T23" s="28"/>
      <c r="U23" s="36"/>
      <c r="V23" s="26"/>
      <c r="W23" s="2" t="s">
        <v>174</v>
      </c>
      <c r="X23" s="28">
        <f>SUM(X21:X22)</f>
        <v>348530.27078885719</v>
      </c>
      <c r="Y23" s="3" t="s">
        <v>173</v>
      </c>
      <c r="Z23" s="26"/>
      <c r="AA23" s="36"/>
      <c r="AB23" s="28"/>
      <c r="AC23" s="3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9"/>
    </row>
    <row r="24" spans="2:40">
      <c r="B24" s="257" t="s">
        <v>636</v>
      </c>
      <c r="C24" s="402">
        <v>70</v>
      </c>
      <c r="D24" s="258" t="s">
        <v>638</v>
      </c>
      <c r="E24" s="262" t="s">
        <v>641</v>
      </c>
      <c r="F24" s="405">
        <v>60</v>
      </c>
      <c r="G24" s="263" t="s">
        <v>638</v>
      </c>
      <c r="H24" s="262" t="s">
        <v>645</v>
      </c>
      <c r="I24" s="405">
        <v>95</v>
      </c>
      <c r="J24" s="263" t="s">
        <v>646</v>
      </c>
      <c r="K24" s="28"/>
      <c r="L24" s="369" t="s">
        <v>811</v>
      </c>
      <c r="M24" s="77">
        <v>112.68643759847485</v>
      </c>
      <c r="N24" s="371">
        <v>124.67741114608657</v>
      </c>
      <c r="O24" s="231">
        <v>171.36767472635944</v>
      </c>
      <c r="P24" s="29"/>
      <c r="R24" s="34"/>
      <c r="S24" s="36"/>
      <c r="T24" s="28"/>
      <c r="U24" s="36"/>
      <c r="V24" s="26"/>
      <c r="W24" s="36" t="s">
        <v>193</v>
      </c>
      <c r="X24" s="28">
        <f>X23/1000*24</f>
        <v>8364.7264989325722</v>
      </c>
      <c r="Y24" s="3" t="s">
        <v>109</v>
      </c>
      <c r="Z24" s="26"/>
      <c r="AA24" s="36"/>
      <c r="AB24" s="28"/>
      <c r="AC24" s="3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9"/>
    </row>
    <row r="25" spans="2:40" ht="15.75" thickBot="1">
      <c r="B25" s="61"/>
      <c r="C25" s="430"/>
      <c r="D25" s="62"/>
      <c r="E25" s="62"/>
      <c r="F25" s="430"/>
      <c r="G25" s="63"/>
      <c r="H25" s="62"/>
      <c r="I25" s="430"/>
      <c r="J25" s="62"/>
      <c r="K25" s="63"/>
      <c r="L25" s="377" t="s">
        <v>816</v>
      </c>
      <c r="M25" s="408">
        <v>100</v>
      </c>
      <c r="N25" s="408">
        <v>100</v>
      </c>
      <c r="O25" s="408">
        <v>100</v>
      </c>
      <c r="P25" s="64"/>
      <c r="R25" s="30" t="s">
        <v>571</v>
      </c>
      <c r="S25" s="36"/>
      <c r="T25" s="28"/>
      <c r="U25" s="36"/>
      <c r="V25" s="26"/>
      <c r="W25" s="2" t="s">
        <v>737</v>
      </c>
      <c r="X25" s="32">
        <f>X24/3*2</f>
        <v>5576.4843326217151</v>
      </c>
      <c r="Y25" s="3" t="s">
        <v>109</v>
      </c>
      <c r="AA25" s="36"/>
      <c r="AB25" s="28"/>
      <c r="AC25" s="3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9"/>
    </row>
    <row r="26" spans="2:40" ht="16.5">
      <c r="N26" s="10"/>
      <c r="R26" s="34"/>
      <c r="S26" s="36" t="s">
        <v>152</v>
      </c>
      <c r="T26" s="28">
        <f>T11</f>
        <v>75</v>
      </c>
      <c r="U26" s="36" t="s">
        <v>198</v>
      </c>
      <c r="V26" s="26"/>
      <c r="W26" s="2" t="s">
        <v>738</v>
      </c>
      <c r="X26" s="32">
        <f>X24/3</f>
        <v>2788.2421663108576</v>
      </c>
      <c r="Y26" s="3" t="s">
        <v>109</v>
      </c>
      <c r="AA26" s="36"/>
      <c r="AB26" s="28"/>
      <c r="AC26" s="3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9"/>
    </row>
    <row r="27" spans="2:40" ht="17.25" thickBot="1">
      <c r="R27" s="34"/>
      <c r="S27" s="36" t="s">
        <v>153</v>
      </c>
      <c r="T27" s="28">
        <v>20</v>
      </c>
      <c r="U27" s="36" t="s">
        <v>198</v>
      </c>
      <c r="V27" s="26"/>
      <c r="W27" s="47" t="s">
        <v>678</v>
      </c>
      <c r="X27" s="44">
        <f>C21</f>
        <v>1.3</v>
      </c>
      <c r="Y27" s="43"/>
      <c r="Z27" s="26"/>
      <c r="AA27" s="36"/>
      <c r="AB27" s="28"/>
      <c r="AC27" s="3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9"/>
    </row>
    <row r="28" spans="2:40" ht="17.25" thickBot="1">
      <c r="R28" s="34"/>
      <c r="S28" s="36" t="s">
        <v>154</v>
      </c>
      <c r="T28" s="28">
        <v>12</v>
      </c>
      <c r="U28" s="36" t="s">
        <v>198</v>
      </c>
      <c r="V28" s="26"/>
      <c r="W28" s="53" t="s">
        <v>194</v>
      </c>
      <c r="X28" s="54">
        <f>X27*X25</f>
        <v>7249.4296324082297</v>
      </c>
      <c r="Y28" s="55" t="s">
        <v>109</v>
      </c>
      <c r="Z28" s="26"/>
      <c r="AA28" s="36"/>
      <c r="AB28" s="28"/>
      <c r="AC28" s="3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9"/>
    </row>
    <row r="29" spans="2:40" ht="15.75" thickBot="1">
      <c r="B29" s="17" t="s">
        <v>187</v>
      </c>
      <c r="R29" s="34"/>
      <c r="S29" s="36"/>
      <c r="T29" s="28"/>
      <c r="U29" s="36"/>
      <c r="V29" s="26"/>
      <c r="W29" s="66" t="s">
        <v>104</v>
      </c>
      <c r="X29" s="67">
        <f>X27*X26</f>
        <v>3624.7148162041149</v>
      </c>
      <c r="Y29" s="58" t="s">
        <v>109</v>
      </c>
      <c r="Z29" s="26"/>
      <c r="AA29" s="36"/>
      <c r="AB29" s="28"/>
      <c r="AC29" s="3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9"/>
    </row>
    <row r="30" spans="2:40">
      <c r="B30" s="68"/>
      <c r="C30" s="19"/>
      <c r="D30" s="19"/>
      <c r="E30" s="19"/>
      <c r="F30" s="19"/>
      <c r="G30" s="21"/>
      <c r="H30" s="19"/>
      <c r="I30" s="19"/>
      <c r="J30" s="19"/>
      <c r="K30" s="21"/>
      <c r="L30" s="19"/>
      <c r="M30" s="19"/>
      <c r="N30" s="19"/>
      <c r="O30" s="21"/>
      <c r="P30" s="22"/>
      <c r="R30" s="34"/>
      <c r="S30" s="36" t="s">
        <v>762</v>
      </c>
      <c r="T30" s="28">
        <f>2300*0.239</f>
        <v>549.69999999999993</v>
      </c>
      <c r="U30" s="36" t="s">
        <v>159</v>
      </c>
      <c r="V30" s="26" t="s">
        <v>155</v>
      </c>
      <c r="W30" s="36"/>
      <c r="X30" s="28"/>
      <c r="Y30" s="36"/>
      <c r="Z30" s="26"/>
      <c r="AA30" s="36"/>
      <c r="AB30" s="28"/>
      <c r="AC30" s="3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9"/>
    </row>
    <row r="31" spans="2:40">
      <c r="B31" s="34"/>
      <c r="C31" s="26"/>
      <c r="D31" s="26"/>
      <c r="E31" s="26"/>
      <c r="F31" s="69" t="s">
        <v>1</v>
      </c>
      <c r="G31" s="70">
        <f>C7*(1-G11/100)</f>
        <v>1754.6320000000028</v>
      </c>
      <c r="H31" s="71" t="s">
        <v>4</v>
      </c>
      <c r="I31" s="26"/>
      <c r="J31" s="69"/>
      <c r="K31" s="70"/>
      <c r="L31" s="71"/>
      <c r="M31" s="26"/>
      <c r="N31" s="26"/>
      <c r="O31" s="28"/>
      <c r="P31" s="29"/>
      <c r="R31" s="34" t="s">
        <v>760</v>
      </c>
      <c r="S31" s="72" t="s">
        <v>156</v>
      </c>
      <c r="T31" s="73" t="s">
        <v>158</v>
      </c>
      <c r="U31" s="72"/>
      <c r="V31" s="73"/>
      <c r="W31" s="36"/>
      <c r="X31" s="28"/>
      <c r="Y31" s="36"/>
      <c r="Z31" s="26"/>
      <c r="AA31" s="36"/>
      <c r="AB31" s="28"/>
      <c r="AC31" s="3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9"/>
    </row>
    <row r="32" spans="2:40">
      <c r="B32" s="34"/>
      <c r="C32" s="26"/>
      <c r="D32" s="26"/>
      <c r="E32" s="26"/>
      <c r="F32" s="74"/>
      <c r="G32" s="28">
        <f>G31/24</f>
        <v>73.109666666666783</v>
      </c>
      <c r="H32" s="75" t="s">
        <v>6</v>
      </c>
      <c r="I32" s="26"/>
      <c r="J32" s="74"/>
      <c r="K32" s="28"/>
      <c r="L32" s="75"/>
      <c r="M32" s="26"/>
      <c r="N32" s="26"/>
      <c r="O32" s="28"/>
      <c r="P32" s="29"/>
      <c r="R32" s="34" t="s">
        <v>761</v>
      </c>
      <c r="S32" s="36" t="s">
        <v>157</v>
      </c>
      <c r="T32" s="28">
        <v>1</v>
      </c>
      <c r="U32" s="36" t="s">
        <v>144</v>
      </c>
      <c r="V32" s="26"/>
      <c r="W32" s="36"/>
      <c r="X32" s="28"/>
      <c r="Y32" s="36"/>
      <c r="Z32" s="26"/>
      <c r="AA32" s="36"/>
      <c r="AB32" s="28"/>
      <c r="AC32" s="3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9"/>
    </row>
    <row r="33" spans="2:40">
      <c r="B33" s="34"/>
      <c r="C33" s="26"/>
      <c r="D33" s="26"/>
      <c r="E33" s="26"/>
      <c r="F33" s="74" t="s">
        <v>2</v>
      </c>
      <c r="G33" s="28">
        <f>C10*(G11/100)</f>
        <v>62075.925999999992</v>
      </c>
      <c r="H33" s="75" t="s">
        <v>4</v>
      </c>
      <c r="I33" s="26"/>
      <c r="J33" s="74" t="s">
        <v>2</v>
      </c>
      <c r="K33" s="28">
        <f>K10*(K16/100)</f>
        <v>5266.9217040000085</v>
      </c>
      <c r="L33" s="75" t="s">
        <v>4</v>
      </c>
      <c r="M33" s="26"/>
      <c r="N33" s="26"/>
      <c r="O33" s="28"/>
      <c r="P33" s="29"/>
      <c r="R33" s="34"/>
      <c r="S33" s="36"/>
      <c r="T33" s="28"/>
      <c r="U33" s="36"/>
      <c r="V33" s="26"/>
      <c r="W33" s="36"/>
      <c r="X33" s="28"/>
      <c r="Y33" s="36"/>
      <c r="Z33" s="26"/>
      <c r="AA33" s="36"/>
      <c r="AB33" s="28"/>
      <c r="AC33" s="3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9"/>
    </row>
    <row r="34" spans="2:40">
      <c r="B34" s="34"/>
      <c r="C34" s="26"/>
      <c r="D34" s="26"/>
      <c r="E34" s="26"/>
      <c r="F34" s="74"/>
      <c r="G34" s="28">
        <f>G33/24</f>
        <v>2586.4969166666665</v>
      </c>
      <c r="H34" s="75" t="s">
        <v>5</v>
      </c>
      <c r="I34" s="26"/>
      <c r="J34" s="74"/>
      <c r="K34" s="28">
        <f>K33/24</f>
        <v>219.45507100000034</v>
      </c>
      <c r="L34" s="75" t="s">
        <v>5</v>
      </c>
      <c r="M34" s="26"/>
      <c r="N34" s="26"/>
      <c r="O34" s="28"/>
      <c r="P34" s="29"/>
      <c r="R34" s="34"/>
      <c r="S34" s="36" t="s">
        <v>739</v>
      </c>
      <c r="T34" s="28">
        <f>(T26-T27)*T32+T30</f>
        <v>604.69999999999993</v>
      </c>
      <c r="U34" s="36" t="s">
        <v>160</v>
      </c>
      <c r="V34" s="26"/>
      <c r="W34" s="36"/>
      <c r="X34" s="28"/>
      <c r="Y34" s="36"/>
      <c r="Z34" s="26"/>
      <c r="AA34" s="36"/>
      <c r="AB34" s="28"/>
      <c r="AC34" s="3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9"/>
    </row>
    <row r="35" spans="2:40">
      <c r="B35" s="34"/>
      <c r="C35" s="26"/>
      <c r="D35" s="26"/>
      <c r="E35" s="26"/>
      <c r="F35" s="76" t="s">
        <v>25</v>
      </c>
      <c r="G35" s="77">
        <f>G10</f>
        <v>20209.2</v>
      </c>
      <c r="H35" s="78" t="s">
        <v>20</v>
      </c>
      <c r="I35" s="26"/>
      <c r="J35" s="76" t="s">
        <v>30</v>
      </c>
      <c r="K35" s="77">
        <f>K13</f>
        <v>20597.367999999999</v>
      </c>
      <c r="L35" s="78" t="s">
        <v>20</v>
      </c>
      <c r="M35" s="26"/>
      <c r="N35" s="26"/>
      <c r="O35" s="28"/>
      <c r="P35" s="29"/>
      <c r="R35" s="34"/>
      <c r="S35" s="36" t="s">
        <v>161</v>
      </c>
      <c r="T35" s="28">
        <f>T34*T9</f>
        <v>1370075.1272559997</v>
      </c>
      <c r="U35" s="36" t="s">
        <v>103</v>
      </c>
      <c r="V35" s="26"/>
      <c r="W35" s="36"/>
      <c r="X35" s="28"/>
      <c r="Y35" s="36"/>
      <c r="Z35" s="26"/>
      <c r="AA35" s="36"/>
      <c r="AB35" s="28"/>
      <c r="AC35" s="3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9"/>
    </row>
    <row r="36" spans="2:40">
      <c r="B36" s="34"/>
      <c r="C36" s="26"/>
      <c r="D36" s="26"/>
      <c r="E36" s="26"/>
      <c r="F36" s="26" t="s">
        <v>776</v>
      </c>
      <c r="G36" s="96">
        <f>G31/(G31+G33)</f>
        <v>2.7488902729003291E-2</v>
      </c>
      <c r="H36" s="26" t="s">
        <v>787</v>
      </c>
      <c r="I36" s="26"/>
      <c r="J36" s="26"/>
      <c r="K36" s="28"/>
      <c r="L36" s="26"/>
      <c r="M36" s="26"/>
      <c r="N36" s="26"/>
      <c r="O36" s="28"/>
      <c r="P36" s="29"/>
      <c r="R36" s="34"/>
      <c r="S36" s="47" t="s">
        <v>661</v>
      </c>
      <c r="T36" s="44">
        <f>C22</f>
        <v>60</v>
      </c>
      <c r="U36" s="43" t="s">
        <v>12</v>
      </c>
      <c r="V36" s="26"/>
      <c r="W36" s="36"/>
      <c r="X36" s="28"/>
      <c r="Y36" s="36"/>
      <c r="Z36" s="26"/>
      <c r="AA36" s="36"/>
      <c r="AB36" s="28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9"/>
    </row>
    <row r="37" spans="2:40" ht="15.75" thickBot="1">
      <c r="B37" s="34"/>
      <c r="C37" s="26"/>
      <c r="D37" s="26"/>
      <c r="E37" s="26"/>
      <c r="F37" s="26" t="s">
        <v>777</v>
      </c>
      <c r="G37" s="96">
        <f>G33/(G31+G33)</f>
        <v>0.97251109727099672</v>
      </c>
      <c r="H37" s="26" t="s">
        <v>787</v>
      </c>
      <c r="I37" s="26"/>
      <c r="J37" s="26"/>
      <c r="K37" s="28"/>
      <c r="L37" s="26"/>
      <c r="M37" s="26"/>
      <c r="N37" s="26"/>
      <c r="O37" s="28"/>
      <c r="P37" s="29"/>
      <c r="R37" s="34"/>
      <c r="S37" s="49" t="s">
        <v>740</v>
      </c>
      <c r="T37" s="32">
        <f>T35/(T36/100)</f>
        <v>2283458.5454266663</v>
      </c>
      <c r="U37" s="49" t="s">
        <v>103</v>
      </c>
      <c r="V37" s="26"/>
      <c r="W37" s="36"/>
      <c r="X37" s="28"/>
      <c r="Y37" s="36"/>
      <c r="Z37" s="26"/>
      <c r="AA37" s="36"/>
      <c r="AB37" s="28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9"/>
    </row>
    <row r="38" spans="2:40" ht="15.75" thickBot="1">
      <c r="B38" s="34"/>
      <c r="C38" s="26"/>
      <c r="D38" s="26"/>
      <c r="E38" s="26"/>
      <c r="F38" s="69"/>
      <c r="G38" s="70"/>
      <c r="H38" s="79"/>
      <c r="I38" s="79"/>
      <c r="J38" s="79" t="s">
        <v>34</v>
      </c>
      <c r="K38" s="70"/>
      <c r="L38" s="79"/>
      <c r="M38" s="74"/>
      <c r="N38" s="26"/>
      <c r="O38" s="28"/>
      <c r="P38" s="29"/>
      <c r="Q38" s="26"/>
      <c r="R38" s="34"/>
      <c r="S38" s="50" t="s">
        <v>161</v>
      </c>
      <c r="T38" s="51">
        <f>T37*0.004184</f>
        <v>9553.9905540651725</v>
      </c>
      <c r="U38" s="58" t="s">
        <v>109</v>
      </c>
      <c r="V38" s="26"/>
      <c r="W38" s="36"/>
      <c r="X38" s="28"/>
      <c r="Y38" s="36"/>
      <c r="Z38" s="26"/>
      <c r="AA38" s="36"/>
      <c r="AB38" s="28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9"/>
    </row>
    <row r="39" spans="2:40">
      <c r="B39" s="34"/>
      <c r="C39" s="26"/>
      <c r="D39" s="26"/>
      <c r="E39" s="26"/>
      <c r="F39" s="74" t="s">
        <v>33</v>
      </c>
      <c r="G39" s="28">
        <f>G31</f>
        <v>1754.6320000000028</v>
      </c>
      <c r="H39" s="26" t="s">
        <v>4</v>
      </c>
      <c r="I39" s="26"/>
      <c r="J39" s="28">
        <f>G39*C13</f>
        <v>2333.6605600000039</v>
      </c>
      <c r="K39" s="28" t="s">
        <v>38</v>
      </c>
      <c r="L39" s="26"/>
      <c r="M39" s="74"/>
      <c r="N39" s="26"/>
      <c r="O39" s="28"/>
      <c r="P39" s="29"/>
      <c r="Q39" s="26"/>
      <c r="R39" s="34"/>
      <c r="S39" s="36"/>
      <c r="T39" s="28"/>
      <c r="U39" s="36"/>
      <c r="V39" s="26"/>
      <c r="W39" s="36"/>
      <c r="X39" s="28"/>
      <c r="Y39" s="36"/>
      <c r="Z39" s="26"/>
      <c r="AA39" s="36"/>
      <c r="AB39" s="28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9"/>
    </row>
    <row r="40" spans="2:40" ht="15.75" thickBot="1">
      <c r="B40" s="34"/>
      <c r="C40" s="26"/>
      <c r="D40" s="26"/>
      <c r="E40" s="26"/>
      <c r="F40" s="74"/>
      <c r="G40" s="28">
        <f>G39/24</f>
        <v>73.109666666666783</v>
      </c>
      <c r="H40" s="26" t="s">
        <v>5</v>
      </c>
      <c r="I40" s="26"/>
      <c r="J40" s="28">
        <f>J39/1000</f>
        <v>2.3336605600000038</v>
      </c>
      <c r="K40" s="28" t="s">
        <v>42</v>
      </c>
      <c r="L40" s="26"/>
      <c r="M40" s="74"/>
      <c r="N40" s="26"/>
      <c r="O40" s="28"/>
      <c r="P40" s="29"/>
      <c r="Q40" s="26"/>
      <c r="R40" s="61"/>
      <c r="S40" s="80"/>
      <c r="T40" s="63"/>
      <c r="U40" s="80"/>
      <c r="V40" s="62"/>
      <c r="W40" s="80"/>
      <c r="X40" s="63"/>
      <c r="Y40" s="62"/>
      <c r="Z40" s="62"/>
      <c r="AA40" s="80"/>
      <c r="AB40" s="63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4"/>
    </row>
    <row r="41" spans="2:40">
      <c r="B41" s="34"/>
      <c r="C41" s="26"/>
      <c r="D41" s="26"/>
      <c r="E41" s="26"/>
      <c r="F41" s="74" t="s">
        <v>36</v>
      </c>
      <c r="G41" s="28">
        <f>G33+K33</f>
        <v>67342.847704</v>
      </c>
      <c r="H41" s="26" t="s">
        <v>4</v>
      </c>
      <c r="I41" s="26"/>
      <c r="J41" s="28">
        <f>G41*C14</f>
        <v>58588.277502479999</v>
      </c>
      <c r="K41" s="28" t="s">
        <v>38</v>
      </c>
      <c r="L41" s="26"/>
      <c r="M41" s="74"/>
      <c r="N41" s="26"/>
      <c r="O41" s="28"/>
      <c r="P41" s="29"/>
      <c r="Q41" s="26"/>
    </row>
    <row r="42" spans="2:40">
      <c r="B42" s="34"/>
      <c r="C42" s="26"/>
      <c r="D42" s="26"/>
      <c r="E42" s="26"/>
      <c r="F42" s="74"/>
      <c r="G42" s="28">
        <f>G41/24</f>
        <v>2805.9519876666668</v>
      </c>
      <c r="H42" s="26" t="s">
        <v>5</v>
      </c>
      <c r="I42" s="26"/>
      <c r="J42" s="28">
        <f>J41/1000</f>
        <v>58.588277502479997</v>
      </c>
      <c r="K42" s="28" t="s">
        <v>42</v>
      </c>
      <c r="L42" s="26"/>
      <c r="M42" s="74"/>
      <c r="N42" s="26"/>
      <c r="O42" s="28"/>
      <c r="P42" s="29"/>
      <c r="Q42" s="26"/>
    </row>
    <row r="43" spans="2:40">
      <c r="B43" s="34"/>
      <c r="C43" s="26"/>
      <c r="D43" s="26"/>
      <c r="E43" s="26"/>
      <c r="F43" s="74" t="s">
        <v>37</v>
      </c>
      <c r="G43" s="28">
        <f>G35+K35</f>
        <v>40806.567999999999</v>
      </c>
      <c r="H43" s="26" t="s">
        <v>20</v>
      </c>
      <c r="I43" s="26"/>
      <c r="J43" s="28"/>
      <c r="K43" s="28"/>
      <c r="L43" s="26"/>
      <c r="M43" s="74"/>
      <c r="N43" s="26"/>
      <c r="O43" s="28"/>
      <c r="P43" s="29"/>
      <c r="Q43" s="26"/>
    </row>
    <row r="44" spans="2:40">
      <c r="B44" s="34"/>
      <c r="C44" s="26"/>
      <c r="D44" s="26"/>
      <c r="E44" s="26"/>
      <c r="F44" s="74"/>
      <c r="G44" s="28"/>
      <c r="H44" s="26"/>
      <c r="I44" s="26"/>
      <c r="J44" s="26"/>
      <c r="K44" s="28"/>
      <c r="L44" s="26"/>
      <c r="M44" s="74"/>
      <c r="N44" s="26"/>
      <c r="O44" s="28"/>
      <c r="P44" s="29"/>
      <c r="Q44" s="26"/>
    </row>
    <row r="45" spans="2:40">
      <c r="B45" s="34"/>
      <c r="C45" s="26"/>
      <c r="D45" s="26"/>
      <c r="E45" s="26"/>
      <c r="F45" s="74"/>
      <c r="G45" s="28"/>
      <c r="H45" s="26"/>
      <c r="I45" s="26"/>
      <c r="J45" s="26"/>
      <c r="K45" s="28"/>
      <c r="L45" s="26"/>
      <c r="M45" s="74"/>
      <c r="N45" s="26"/>
      <c r="O45" s="28"/>
      <c r="P45" s="29"/>
      <c r="Q45" s="26"/>
    </row>
    <row r="46" spans="2:40">
      <c r="B46" s="34"/>
      <c r="C46" s="26"/>
      <c r="D46" s="26"/>
      <c r="E46" s="26"/>
      <c r="F46" s="74" t="s">
        <v>35</v>
      </c>
      <c r="G46" s="28">
        <f>SUM(G39+G41+G43)</f>
        <v>109904.047704</v>
      </c>
      <c r="H46" s="26" t="s">
        <v>20</v>
      </c>
      <c r="I46" s="26"/>
      <c r="J46" s="26"/>
      <c r="K46" s="28"/>
      <c r="L46" s="26"/>
      <c r="M46" s="74"/>
      <c r="N46" s="26"/>
      <c r="O46" s="28"/>
      <c r="P46" s="29"/>
      <c r="Q46" s="26"/>
    </row>
    <row r="47" spans="2:40">
      <c r="B47" s="34"/>
      <c r="C47" s="26"/>
      <c r="D47" s="26"/>
      <c r="E47" s="26"/>
      <c r="F47" s="76"/>
      <c r="G47" s="77">
        <f>G46/1000</f>
        <v>109.90404770399999</v>
      </c>
      <c r="H47" s="81" t="s">
        <v>41</v>
      </c>
      <c r="I47" s="81"/>
      <c r="J47" s="81"/>
      <c r="K47" s="77"/>
      <c r="L47" s="81"/>
      <c r="M47" s="74"/>
      <c r="N47" s="26"/>
      <c r="O47" s="28"/>
      <c r="P47" s="29"/>
      <c r="Q47" s="26"/>
    </row>
    <row r="48" spans="2:40">
      <c r="B48" s="34"/>
      <c r="C48" s="26"/>
      <c r="D48" s="26"/>
      <c r="E48" s="26"/>
      <c r="F48" s="26"/>
      <c r="G48" s="28"/>
      <c r="H48" s="26"/>
      <c r="I48" s="26"/>
      <c r="J48" s="26"/>
      <c r="K48" s="28"/>
      <c r="L48" s="26"/>
      <c r="M48" s="26"/>
      <c r="N48" s="26"/>
      <c r="O48" s="28"/>
      <c r="P48" s="29"/>
    </row>
    <row r="49" spans="2:40" ht="15.75" thickBot="1">
      <c r="B49" s="61"/>
      <c r="C49" s="62"/>
      <c r="D49" s="62"/>
      <c r="E49" s="62"/>
      <c r="F49" s="62"/>
      <c r="G49" s="63"/>
      <c r="H49" s="62"/>
      <c r="I49" s="62"/>
      <c r="J49" s="62"/>
      <c r="K49" s="63"/>
      <c r="L49" s="62"/>
      <c r="M49" s="62"/>
      <c r="N49" s="62"/>
      <c r="O49" s="63"/>
      <c r="P49" s="64"/>
    </row>
    <row r="51" spans="2:40" ht="15.75" thickBot="1">
      <c r="B51" s="17" t="s">
        <v>190</v>
      </c>
    </row>
    <row r="52" spans="2:40">
      <c r="B52" s="23" t="s">
        <v>43</v>
      </c>
      <c r="C52" s="21"/>
      <c r="D52" s="19"/>
      <c r="E52" s="19"/>
      <c r="F52" s="19"/>
      <c r="G52" s="21"/>
      <c r="H52" s="19"/>
      <c r="I52" s="19"/>
      <c r="J52" s="19"/>
      <c r="K52" s="21"/>
      <c r="L52" s="19"/>
      <c r="M52" s="19"/>
      <c r="N52" s="19"/>
      <c r="O52" s="19"/>
      <c r="P52" s="21"/>
      <c r="Q52" s="19"/>
      <c r="R52" s="19"/>
      <c r="S52" s="19"/>
      <c r="T52" s="21"/>
      <c r="U52" s="19"/>
      <c r="V52" s="19"/>
      <c r="W52" s="19"/>
      <c r="X52" s="21"/>
      <c r="Y52" s="19"/>
      <c r="Z52" s="19"/>
      <c r="AA52" s="19"/>
      <c r="AB52" s="19"/>
      <c r="AC52" s="19"/>
      <c r="AD52" s="19"/>
      <c r="AE52" s="19"/>
      <c r="AF52" s="22"/>
      <c r="AH52" s="23" t="s">
        <v>819</v>
      </c>
      <c r="AI52" s="19"/>
      <c r="AJ52" s="19"/>
      <c r="AK52" s="19"/>
      <c r="AL52" s="19"/>
      <c r="AM52" s="19"/>
      <c r="AN52" s="22"/>
    </row>
    <row r="53" spans="2:40" ht="18">
      <c r="B53" s="30" t="s">
        <v>57</v>
      </c>
      <c r="C53" s="28"/>
      <c r="D53" s="26"/>
      <c r="E53" s="26"/>
      <c r="F53" s="26"/>
      <c r="G53" s="28"/>
      <c r="H53" s="27" t="s">
        <v>67</v>
      </c>
      <c r="I53" s="26"/>
      <c r="J53" s="26"/>
      <c r="K53" s="28"/>
      <c r="L53" s="26"/>
      <c r="M53" s="26"/>
      <c r="N53" s="26"/>
      <c r="O53" s="26"/>
      <c r="P53" s="28"/>
      <c r="Q53" s="26"/>
      <c r="R53" s="26"/>
      <c r="S53" s="26"/>
      <c r="T53" s="28"/>
      <c r="U53" s="26"/>
      <c r="V53" s="27" t="s">
        <v>73</v>
      </c>
      <c r="W53" s="26"/>
      <c r="X53" s="26"/>
      <c r="Y53" s="26"/>
      <c r="Z53" s="26"/>
      <c r="AA53" s="26"/>
      <c r="AB53" s="26"/>
      <c r="AC53" s="26"/>
      <c r="AD53" s="26"/>
      <c r="AE53" s="26"/>
      <c r="AF53" s="29"/>
      <c r="AH53" s="346" t="s">
        <v>765</v>
      </c>
      <c r="AI53" s="291"/>
      <c r="AJ53" s="347" t="s">
        <v>766</v>
      </c>
      <c r="AK53" s="348" t="s">
        <v>764</v>
      </c>
      <c r="AL53" s="26" t="s">
        <v>212</v>
      </c>
      <c r="AM53" s="26"/>
      <c r="AN53" s="29"/>
    </row>
    <row r="54" spans="2:40">
      <c r="B54" s="34"/>
      <c r="C54" s="28"/>
      <c r="D54" s="26"/>
      <c r="E54" s="26"/>
      <c r="F54" s="26"/>
      <c r="G54" s="28"/>
      <c r="H54" s="27" t="s">
        <v>58</v>
      </c>
      <c r="I54" s="26"/>
      <c r="J54" s="26"/>
      <c r="K54" s="28"/>
      <c r="L54" s="27" t="s">
        <v>63</v>
      </c>
      <c r="M54" s="26"/>
      <c r="N54" s="26"/>
      <c r="O54" s="26"/>
      <c r="P54" s="27" t="s">
        <v>68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9"/>
      <c r="AH54" s="339" t="s">
        <v>114</v>
      </c>
      <c r="AI54" s="79"/>
      <c r="AJ54" s="431">
        <f>W59</f>
        <v>13670.598083912</v>
      </c>
      <c r="AK54" s="341" t="s">
        <v>113</v>
      </c>
      <c r="AL54" s="26"/>
      <c r="AM54" s="26"/>
      <c r="AN54" s="29"/>
    </row>
    <row r="55" spans="2:40">
      <c r="B55" s="307" t="s">
        <v>681</v>
      </c>
      <c r="C55" s="28"/>
      <c r="D55" s="3"/>
      <c r="E55" s="3"/>
      <c r="F55" s="3"/>
      <c r="G55" s="28"/>
      <c r="H55" s="26"/>
      <c r="I55" s="26"/>
      <c r="J55" s="26"/>
      <c r="K55" s="28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45" t="s">
        <v>74</v>
      </c>
      <c r="W55" s="44">
        <f>F23</f>
        <v>75</v>
      </c>
      <c r="X55" s="43" t="s">
        <v>11</v>
      </c>
      <c r="Y55" s="26"/>
      <c r="Z55" s="26"/>
      <c r="AA55" s="26"/>
      <c r="AB55" s="26"/>
      <c r="AC55" s="26"/>
      <c r="AD55" s="26"/>
      <c r="AE55" s="26"/>
      <c r="AF55" s="29"/>
      <c r="AH55" s="25" t="s">
        <v>115</v>
      </c>
      <c r="AI55" s="26"/>
      <c r="AJ55" s="422">
        <f>W58</f>
        <v>20505.897125867999</v>
      </c>
      <c r="AK55" s="342" t="s">
        <v>113</v>
      </c>
      <c r="AL55" s="26"/>
      <c r="AM55" s="26"/>
      <c r="AN55" s="29"/>
    </row>
    <row r="56" spans="2:40" ht="16.5">
      <c r="B56" s="82" t="s">
        <v>44</v>
      </c>
      <c r="C56" s="28">
        <f>G47</f>
        <v>109.90404770399999</v>
      </c>
      <c r="D56" s="36" t="s">
        <v>41</v>
      </c>
      <c r="E56" s="3"/>
      <c r="F56" s="3"/>
      <c r="G56" s="28"/>
      <c r="H56" s="3" t="s">
        <v>59</v>
      </c>
      <c r="I56" s="28">
        <v>37</v>
      </c>
      <c r="J56" s="3"/>
      <c r="K56" s="28"/>
      <c r="L56" s="3" t="s">
        <v>66</v>
      </c>
      <c r="M56" s="28">
        <v>1000</v>
      </c>
      <c r="N56" s="3" t="s">
        <v>64</v>
      </c>
      <c r="O56" s="26"/>
      <c r="P56" s="3" t="s">
        <v>72</v>
      </c>
      <c r="Q56" s="6">
        <f>C60*0.004</f>
        <v>15.200000000000001</v>
      </c>
      <c r="R56" s="2" t="s">
        <v>69</v>
      </c>
      <c r="S56" s="3" t="s">
        <v>70</v>
      </c>
      <c r="T56" s="26"/>
      <c r="U56" s="26"/>
      <c r="V56" s="26" t="s">
        <v>78</v>
      </c>
      <c r="W56" s="28">
        <v>350</v>
      </c>
      <c r="X56" s="36" t="s">
        <v>79</v>
      </c>
      <c r="Y56" s="26"/>
      <c r="Z56" s="26"/>
      <c r="AA56" s="26"/>
      <c r="AB56" s="26"/>
      <c r="AC56" s="26"/>
      <c r="AD56" s="26"/>
      <c r="AE56" s="26"/>
      <c r="AF56" s="29"/>
      <c r="AH56" s="25" t="s">
        <v>210</v>
      </c>
      <c r="AI56" s="26" t="s">
        <v>1</v>
      </c>
      <c r="AJ56" s="421">
        <f>U90*AL56</f>
        <v>636.80627532625294</v>
      </c>
      <c r="AK56" s="342" t="s">
        <v>113</v>
      </c>
      <c r="AL56" s="84">
        <f>717.51/AL61</f>
        <v>362.9286798179059</v>
      </c>
      <c r="AM56" s="3" t="s">
        <v>337</v>
      </c>
      <c r="AN56" s="29"/>
    </row>
    <row r="57" spans="2:40">
      <c r="B57" s="82" t="s">
        <v>45</v>
      </c>
      <c r="C57" s="28">
        <v>30</v>
      </c>
      <c r="D57" s="3" t="s">
        <v>46</v>
      </c>
      <c r="E57" s="3"/>
      <c r="F57" s="3"/>
      <c r="G57" s="28"/>
      <c r="H57" s="3" t="s">
        <v>60</v>
      </c>
      <c r="I57" s="28">
        <v>12.5</v>
      </c>
      <c r="J57" s="3"/>
      <c r="K57" s="28"/>
      <c r="L57" s="2" t="s">
        <v>71</v>
      </c>
      <c r="M57" s="6">
        <f>G47*M56</f>
        <v>109904.047704</v>
      </c>
      <c r="N57" s="2" t="s">
        <v>65</v>
      </c>
      <c r="O57" s="26"/>
      <c r="P57" s="26"/>
      <c r="Q57" s="6">
        <f>Q56*3.6</f>
        <v>54.720000000000006</v>
      </c>
      <c r="R57" s="35" t="s">
        <v>109</v>
      </c>
      <c r="S57" s="26"/>
      <c r="T57" s="26"/>
      <c r="U57" s="26"/>
      <c r="V57" s="45" t="s">
        <v>75</v>
      </c>
      <c r="W57" s="44">
        <f>F24</f>
        <v>60</v>
      </c>
      <c r="X57" s="43" t="s">
        <v>11</v>
      </c>
      <c r="Y57" s="26"/>
      <c r="Z57" s="26"/>
      <c r="AA57" s="26"/>
      <c r="AB57" s="26"/>
      <c r="AC57" s="26"/>
      <c r="AD57" s="26"/>
      <c r="AE57" s="26"/>
      <c r="AF57" s="29"/>
      <c r="AH57" s="25"/>
      <c r="AI57" s="26" t="s">
        <v>211</v>
      </c>
      <c r="AJ57" s="421">
        <f>U89*AL56</f>
        <v>24871.080418698763</v>
      </c>
      <c r="AK57" s="342" t="s">
        <v>113</v>
      </c>
      <c r="AL57" s="26"/>
      <c r="AM57" s="26"/>
      <c r="AN57" s="29"/>
    </row>
    <row r="58" spans="2:40" ht="15.75" thickBot="1">
      <c r="B58" s="82" t="s">
        <v>47</v>
      </c>
      <c r="C58" s="28">
        <f>C56*C57</f>
        <v>3297.1214311199997</v>
      </c>
      <c r="D58" s="3"/>
      <c r="E58" s="3"/>
      <c r="F58" s="3"/>
      <c r="G58" s="28"/>
      <c r="H58" s="3" t="s">
        <v>202</v>
      </c>
      <c r="I58" s="28">
        <f>I56-I57</f>
        <v>24.5</v>
      </c>
      <c r="J58" s="3"/>
      <c r="K58" s="28"/>
      <c r="L58" s="36"/>
      <c r="M58" s="6">
        <f>M57*0.004184</f>
        <v>459.83853559353599</v>
      </c>
      <c r="N58" s="2" t="s">
        <v>109</v>
      </c>
      <c r="O58" s="26"/>
      <c r="P58" s="47" t="s">
        <v>678</v>
      </c>
      <c r="Q58" s="44">
        <f>C21</f>
        <v>1.3</v>
      </c>
      <c r="R58" s="43"/>
      <c r="S58" s="26"/>
      <c r="T58" s="26"/>
      <c r="U58" s="26"/>
      <c r="V58" s="26" t="s">
        <v>76</v>
      </c>
      <c r="W58" s="28">
        <f>W56*J42</f>
        <v>20505.897125867999</v>
      </c>
      <c r="X58" s="36" t="s">
        <v>54</v>
      </c>
      <c r="Y58" s="26"/>
      <c r="Z58" s="26"/>
      <c r="AA58" s="26"/>
      <c r="AB58" s="26"/>
      <c r="AC58" s="26"/>
      <c r="AD58" s="26"/>
      <c r="AE58" s="26"/>
      <c r="AF58" s="29"/>
      <c r="AH58" s="343" t="s">
        <v>213</v>
      </c>
      <c r="AI58" s="81"/>
      <c r="AJ58" s="423">
        <f>U85*AL58</f>
        <v>10.464140235786337</v>
      </c>
      <c r="AK58" s="345" t="s">
        <v>113</v>
      </c>
      <c r="AL58" s="97">
        <f>0.5/AL61</f>
        <v>0.25290844714213456</v>
      </c>
      <c r="AM58" s="26" t="s">
        <v>214</v>
      </c>
      <c r="AN58" s="29"/>
    </row>
    <row r="59" spans="2:40" ht="15.75" thickBot="1">
      <c r="B59" s="82" t="s">
        <v>55</v>
      </c>
      <c r="C59" s="28">
        <f>C58*0.15+C58</f>
        <v>3791.6896457879998</v>
      </c>
      <c r="D59" s="36"/>
      <c r="E59" s="26"/>
      <c r="F59" s="3"/>
      <c r="G59" s="28"/>
      <c r="H59" s="2" t="s">
        <v>61</v>
      </c>
      <c r="I59" s="6">
        <f>I58*C63*0.034*24</f>
        <v>27422.33396387516</v>
      </c>
      <c r="J59" s="2" t="s">
        <v>62</v>
      </c>
      <c r="K59" s="28"/>
      <c r="L59" s="47" t="s">
        <v>678</v>
      </c>
      <c r="M59" s="44">
        <f>C21</f>
        <v>1.3</v>
      </c>
      <c r="N59" s="43"/>
      <c r="O59" s="26"/>
      <c r="P59" s="89" t="s">
        <v>197</v>
      </c>
      <c r="Q59" s="90">
        <f>Q58*Q57</f>
        <v>71.13600000000001</v>
      </c>
      <c r="R59" s="56" t="s">
        <v>109</v>
      </c>
      <c r="S59" s="26"/>
      <c r="T59" s="26"/>
      <c r="U59" s="26"/>
      <c r="V59" s="26" t="s">
        <v>77</v>
      </c>
      <c r="W59" s="28">
        <f>W58/(W57/100)*((100-W57)/100)</f>
        <v>13670.598083912</v>
      </c>
      <c r="X59" s="36" t="s">
        <v>54</v>
      </c>
      <c r="Y59" s="26"/>
      <c r="Z59" s="26"/>
      <c r="AA59" s="26"/>
      <c r="AB59" s="26"/>
      <c r="AC59" s="26"/>
      <c r="AD59" s="26"/>
      <c r="AE59" s="26"/>
      <c r="AF59" s="29"/>
      <c r="AH59" s="25"/>
      <c r="AI59" s="26"/>
      <c r="AJ59" s="26"/>
      <c r="AK59" s="26"/>
      <c r="AL59" s="26"/>
      <c r="AM59" s="26"/>
      <c r="AN59" s="29"/>
    </row>
    <row r="60" spans="2:40" ht="15.75" thickBot="1">
      <c r="B60" s="25" t="s">
        <v>56</v>
      </c>
      <c r="C60" s="28">
        <f>ROUNDUP(C59,-2)</f>
        <v>3800</v>
      </c>
      <c r="D60" s="3" t="s">
        <v>52</v>
      </c>
      <c r="E60" s="26"/>
      <c r="F60" s="26"/>
      <c r="G60" s="28"/>
      <c r="H60" s="3"/>
      <c r="I60" s="6">
        <f>I59*0.004184</f>
        <v>114.73504530485367</v>
      </c>
      <c r="J60" s="2" t="s">
        <v>109</v>
      </c>
      <c r="K60" s="28"/>
      <c r="L60" s="53" t="s">
        <v>206</v>
      </c>
      <c r="M60" s="54">
        <f>M59*M58</f>
        <v>597.79009627159678</v>
      </c>
      <c r="N60" s="55" t="s">
        <v>109</v>
      </c>
      <c r="O60" s="26"/>
      <c r="P60" s="26"/>
      <c r="Q60" s="26"/>
      <c r="R60" s="36"/>
      <c r="S60" s="26"/>
      <c r="T60" s="26"/>
      <c r="U60" s="26"/>
      <c r="V60" s="27" t="s">
        <v>120</v>
      </c>
      <c r="W60" s="6">
        <f>W58/(W57/100)</f>
        <v>34176.495209779998</v>
      </c>
      <c r="X60" s="35" t="s">
        <v>80</v>
      </c>
      <c r="Y60" s="26"/>
      <c r="Z60" s="26"/>
      <c r="AA60" s="26"/>
      <c r="AB60" s="26"/>
      <c r="AC60" s="26"/>
      <c r="AD60" s="26"/>
      <c r="AE60" s="26"/>
      <c r="AF60" s="29"/>
      <c r="AH60" s="25"/>
      <c r="AI60" s="26"/>
      <c r="AJ60" s="26"/>
      <c r="AK60" s="26"/>
      <c r="AL60" s="26"/>
      <c r="AM60" s="26"/>
      <c r="AN60" s="29"/>
    </row>
    <row r="61" spans="2:40" ht="15.75" thickBot="1">
      <c r="B61" s="82" t="s">
        <v>48</v>
      </c>
      <c r="C61" s="28">
        <f>2*(C60/3/PI())^(1/3)</f>
        <v>14.775226665015193</v>
      </c>
      <c r="D61" s="3" t="s">
        <v>49</v>
      </c>
      <c r="E61" s="3" t="s">
        <v>682</v>
      </c>
      <c r="F61" s="3"/>
      <c r="G61" s="28"/>
      <c r="H61" s="47" t="s">
        <v>678</v>
      </c>
      <c r="I61" s="44">
        <f>C21</f>
        <v>1.3</v>
      </c>
      <c r="J61" s="47"/>
      <c r="K61" s="28"/>
      <c r="L61" s="3"/>
      <c r="M61" s="28"/>
      <c r="N61" s="36"/>
      <c r="O61" s="26"/>
      <c r="P61" s="26"/>
      <c r="Q61" s="26"/>
      <c r="R61" s="26"/>
      <c r="S61" s="26"/>
      <c r="T61" s="26"/>
      <c r="U61" s="26"/>
      <c r="V61" s="26"/>
      <c r="W61" s="26"/>
      <c r="X61" s="36"/>
      <c r="Y61" s="26"/>
      <c r="Z61" s="26"/>
      <c r="AA61" s="26"/>
      <c r="AB61" s="26"/>
      <c r="AC61" s="26"/>
      <c r="AD61" s="26"/>
      <c r="AE61" s="26"/>
      <c r="AF61" s="29"/>
      <c r="AH61" s="98" t="s">
        <v>116</v>
      </c>
      <c r="AI61" s="99"/>
      <c r="AJ61" s="100">
        <f>SUM(AJ54:AJ58)</f>
        <v>59694.846044040802</v>
      </c>
      <c r="AK61" s="101" t="s">
        <v>113</v>
      </c>
      <c r="AL61" s="28">
        <v>1.9770000000000001</v>
      </c>
      <c r="AM61" s="36" t="s">
        <v>117</v>
      </c>
      <c r="AN61" s="29"/>
    </row>
    <row r="62" spans="2:40" ht="15.75" thickBot="1">
      <c r="B62" s="82" t="s">
        <v>51</v>
      </c>
      <c r="C62" s="28">
        <f>C61/2*3</f>
        <v>22.162839997522788</v>
      </c>
      <c r="D62" s="3" t="s">
        <v>49</v>
      </c>
      <c r="E62" s="26"/>
      <c r="F62" s="26"/>
      <c r="G62" s="28"/>
      <c r="H62" s="53" t="s">
        <v>196</v>
      </c>
      <c r="I62" s="54">
        <f>I61*I60</f>
        <v>149.15555889630977</v>
      </c>
      <c r="J62" s="55" t="s">
        <v>109</v>
      </c>
      <c r="K62" s="28"/>
      <c r="L62" s="36"/>
      <c r="M62" s="26"/>
      <c r="N62" s="36"/>
      <c r="O62" s="26"/>
      <c r="P62" s="26"/>
      <c r="Q62" s="26"/>
      <c r="R62" s="26"/>
      <c r="S62" s="26"/>
      <c r="T62" s="26"/>
      <c r="U62" s="26"/>
      <c r="V62" s="26"/>
      <c r="W62" s="26"/>
      <c r="X62" s="36"/>
      <c r="Y62" s="26"/>
      <c r="Z62" s="26"/>
      <c r="AA62" s="26"/>
      <c r="AB62" s="26"/>
      <c r="AC62" s="26"/>
      <c r="AD62" s="26"/>
      <c r="AE62" s="26"/>
      <c r="AF62" s="29"/>
      <c r="AH62" s="102" t="s">
        <v>215</v>
      </c>
      <c r="AI62" s="103"/>
      <c r="AJ62" s="104">
        <f>AJ61*AL61/1000</f>
        <v>118.01671062906867</v>
      </c>
      <c r="AK62" s="105" t="s">
        <v>118</v>
      </c>
      <c r="AL62" s="26"/>
      <c r="AM62" s="26"/>
      <c r="AN62" s="29"/>
    </row>
    <row r="63" spans="2:40" ht="15.75" thickBot="1">
      <c r="B63" s="82" t="s">
        <v>689</v>
      </c>
      <c r="C63" s="28">
        <f>(((C61/2)^2*PI())*2)+((PI()*C61)*C62)</f>
        <v>1371.6653643394936</v>
      </c>
      <c r="D63" s="3" t="s">
        <v>53</v>
      </c>
      <c r="E63" s="3"/>
      <c r="F63" s="3"/>
      <c r="G63" s="28"/>
      <c r="H63" s="36"/>
      <c r="I63" s="26"/>
      <c r="J63" s="36"/>
      <c r="K63" s="28"/>
      <c r="L63" s="3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9"/>
      <c r="AH63" s="106" t="s">
        <v>216</v>
      </c>
      <c r="AI63" s="107"/>
      <c r="AJ63" s="108">
        <f>SUM(AJ56:AJ58)*AL61/1000</f>
        <v>50.449779599333603</v>
      </c>
      <c r="AK63" s="109" t="s">
        <v>217</v>
      </c>
      <c r="AL63" s="26"/>
      <c r="AM63" s="26"/>
      <c r="AN63" s="29"/>
    </row>
    <row r="64" spans="2:40">
      <c r="B64" s="25"/>
      <c r="C64" s="28"/>
      <c r="D64" s="3"/>
      <c r="E64" s="26"/>
      <c r="F64" s="26"/>
      <c r="G64" s="28"/>
      <c r="H64" s="36"/>
      <c r="I64" s="26"/>
      <c r="J64" s="36"/>
      <c r="K64" s="28"/>
      <c r="L64" s="3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9"/>
      <c r="AH64" s="34"/>
      <c r="AI64" s="26"/>
      <c r="AJ64" s="26"/>
      <c r="AK64" s="26"/>
      <c r="AL64" s="26"/>
      <c r="AM64" s="26"/>
      <c r="AN64" s="29"/>
    </row>
    <row r="65" spans="2:40">
      <c r="B65" s="82" t="s">
        <v>688</v>
      </c>
      <c r="C65" s="28">
        <f>(C61/2)^2*PI()*C62</f>
        <v>3799.9999999999995</v>
      </c>
      <c r="D65" s="3" t="s">
        <v>52</v>
      </c>
      <c r="E65" s="26"/>
      <c r="F65" s="26"/>
      <c r="G65" s="28"/>
      <c r="H65" s="36"/>
      <c r="I65" s="26"/>
      <c r="J65" s="36"/>
      <c r="K65" s="28"/>
      <c r="L65" s="3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9"/>
      <c r="AH65" s="34"/>
      <c r="AI65" s="26"/>
      <c r="AJ65" s="26"/>
      <c r="AK65" s="26"/>
      <c r="AL65" s="26"/>
      <c r="AM65" s="26"/>
      <c r="AN65" s="29"/>
    </row>
    <row r="66" spans="2:40">
      <c r="B66" s="25"/>
      <c r="C66" s="28"/>
      <c r="D66" s="36"/>
      <c r="E66" s="26"/>
      <c r="F66" s="26"/>
      <c r="G66" s="28"/>
      <c r="H66" s="36"/>
      <c r="I66" s="26"/>
      <c r="J66" s="36"/>
      <c r="K66" s="28"/>
      <c r="L66" s="3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9"/>
      <c r="AH66" s="34"/>
      <c r="AI66" s="26"/>
      <c r="AJ66" s="26"/>
      <c r="AK66" s="26"/>
      <c r="AL66" s="26"/>
      <c r="AM66" s="26"/>
      <c r="AN66" s="29"/>
    </row>
    <row r="67" spans="2:40">
      <c r="B67" s="25"/>
      <c r="C67" s="28"/>
      <c r="D67" s="36"/>
      <c r="E67" s="26"/>
      <c r="F67" s="26"/>
      <c r="G67" s="28"/>
      <c r="H67" s="35" t="s">
        <v>81</v>
      </c>
      <c r="I67" s="26"/>
      <c r="J67" s="36"/>
      <c r="K67" s="28"/>
      <c r="L67" s="36"/>
      <c r="M67" s="26"/>
      <c r="N67" s="26"/>
      <c r="O67" s="26"/>
      <c r="P67" s="27" t="s">
        <v>99</v>
      </c>
      <c r="Q67" s="26"/>
      <c r="R67" s="26"/>
      <c r="S67" s="26"/>
      <c r="T67" s="27" t="s">
        <v>119</v>
      </c>
      <c r="U67" s="26"/>
      <c r="V67" s="26"/>
      <c r="W67" s="26"/>
      <c r="X67" s="26"/>
      <c r="AE67" s="26"/>
      <c r="AF67" s="29"/>
      <c r="AH67" s="34"/>
      <c r="AI67" s="26"/>
      <c r="AJ67" s="26"/>
      <c r="AK67" s="26"/>
      <c r="AL67" s="26"/>
      <c r="AM67" s="26"/>
      <c r="AN67" s="29"/>
    </row>
    <row r="68" spans="2:40">
      <c r="B68" s="25"/>
      <c r="C68" s="28"/>
      <c r="D68" s="36"/>
      <c r="E68" s="26"/>
      <c r="F68" s="26"/>
      <c r="G68" s="28"/>
      <c r="H68" s="35" t="s">
        <v>82</v>
      </c>
      <c r="I68" s="26"/>
      <c r="J68" s="36"/>
      <c r="K68" s="28"/>
      <c r="L68" s="27" t="s">
        <v>85</v>
      </c>
      <c r="M68" s="26"/>
      <c r="N68" s="26"/>
      <c r="O68" s="26"/>
      <c r="P68" s="27" t="s">
        <v>112</v>
      </c>
      <c r="Q68" s="26"/>
      <c r="R68" s="26"/>
      <c r="S68" s="26"/>
      <c r="T68" s="27" t="s">
        <v>135</v>
      </c>
      <c r="U68" s="26"/>
      <c r="V68" s="26"/>
      <c r="W68" s="26"/>
      <c r="X68" s="26"/>
      <c r="AC68" s="27"/>
      <c r="AD68" s="26"/>
      <c r="AE68" s="26"/>
      <c r="AF68" s="29"/>
      <c r="AH68" s="34"/>
      <c r="AI68" s="26"/>
      <c r="AJ68" s="26"/>
      <c r="AK68" s="26"/>
      <c r="AL68" s="26"/>
      <c r="AM68" s="26"/>
      <c r="AN68" s="29"/>
    </row>
    <row r="69" spans="2:40">
      <c r="B69" s="25"/>
      <c r="C69" s="28"/>
      <c r="D69" s="36"/>
      <c r="E69" s="26"/>
      <c r="F69" s="26"/>
      <c r="G69" s="28"/>
      <c r="H69" s="36"/>
      <c r="I69" s="26"/>
      <c r="J69" s="36"/>
      <c r="K69" s="28"/>
      <c r="L69" s="35" t="s">
        <v>94</v>
      </c>
      <c r="M69" s="26"/>
      <c r="N69" s="26"/>
      <c r="O69" s="26"/>
      <c r="P69" s="36" t="s">
        <v>101</v>
      </c>
      <c r="Q69" s="28">
        <v>9500</v>
      </c>
      <c r="R69" s="36" t="s">
        <v>102</v>
      </c>
      <c r="S69" s="26"/>
      <c r="T69" s="36" t="s">
        <v>129</v>
      </c>
      <c r="U69" s="28">
        <f>C56</f>
        <v>109.90404770399999</v>
      </c>
      <c r="V69" s="36" t="s">
        <v>41</v>
      </c>
      <c r="W69" s="36"/>
      <c r="X69" s="26"/>
      <c r="AF69" s="29"/>
      <c r="AH69" s="34"/>
      <c r="AI69" s="26"/>
      <c r="AJ69" s="26"/>
      <c r="AK69" s="26"/>
      <c r="AL69" s="26"/>
      <c r="AM69" s="26"/>
      <c r="AN69" s="29"/>
    </row>
    <row r="70" spans="2:40">
      <c r="B70" s="25"/>
      <c r="C70" s="28"/>
      <c r="D70" s="36"/>
      <c r="E70" s="26"/>
      <c r="F70" s="26"/>
      <c r="G70" s="28"/>
      <c r="H70" s="36" t="s">
        <v>83</v>
      </c>
      <c r="I70" s="26"/>
      <c r="J70" s="36"/>
      <c r="K70" s="28"/>
      <c r="L70" s="36" t="s">
        <v>88</v>
      </c>
      <c r="M70" s="32">
        <f>W60/24</f>
        <v>1424.0206337408333</v>
      </c>
      <c r="N70" s="3" t="s">
        <v>87</v>
      </c>
      <c r="O70" s="26"/>
      <c r="P70" s="36" t="s">
        <v>100</v>
      </c>
      <c r="Q70" s="28">
        <f>W58*Q69</f>
        <v>194806022.695746</v>
      </c>
      <c r="R70" s="36" t="s">
        <v>103</v>
      </c>
      <c r="S70" s="26"/>
      <c r="T70" s="36" t="s">
        <v>125</v>
      </c>
      <c r="U70" s="28">
        <f>C56*C16</f>
        <v>30.223613118599999</v>
      </c>
      <c r="V70" s="36" t="s">
        <v>123</v>
      </c>
      <c r="W70" s="36"/>
      <c r="X70" s="26"/>
      <c r="AF70" s="29"/>
      <c r="AH70" s="34"/>
      <c r="AI70" s="26"/>
      <c r="AJ70" s="26"/>
      <c r="AK70" s="26"/>
      <c r="AL70" s="26"/>
      <c r="AM70" s="26"/>
      <c r="AN70" s="29"/>
    </row>
    <row r="71" spans="2:40">
      <c r="B71" s="25"/>
      <c r="C71" s="28"/>
      <c r="D71" s="36"/>
      <c r="E71" s="26"/>
      <c r="F71" s="26"/>
      <c r="G71" s="28"/>
      <c r="H71" s="36" t="s">
        <v>84</v>
      </c>
      <c r="I71" s="26"/>
      <c r="J71" s="36"/>
      <c r="K71" s="28"/>
      <c r="L71" s="36"/>
      <c r="M71" s="28">
        <v>3.2934131736526949E-2</v>
      </c>
      <c r="N71" s="36" t="s">
        <v>89</v>
      </c>
      <c r="O71" s="26"/>
      <c r="P71" s="36"/>
      <c r="Q71" s="6">
        <f>Q70*0.004184</f>
        <v>815068.39895900129</v>
      </c>
      <c r="R71" s="36" t="s">
        <v>109</v>
      </c>
      <c r="S71" s="26"/>
      <c r="T71" s="36" t="s">
        <v>126</v>
      </c>
      <c r="U71" s="28">
        <f>C17*C56</f>
        <v>26.596779544367998</v>
      </c>
      <c r="V71" s="36" t="s">
        <v>124</v>
      </c>
      <c r="W71" s="36"/>
      <c r="X71" s="26"/>
      <c r="AF71" s="29"/>
      <c r="AH71" s="34"/>
      <c r="AI71" s="26"/>
      <c r="AJ71" s="26"/>
      <c r="AK71" s="26"/>
      <c r="AL71" s="26"/>
      <c r="AM71" s="26"/>
      <c r="AN71" s="29"/>
    </row>
    <row r="72" spans="2:40">
      <c r="B72" s="25"/>
      <c r="C72" s="28"/>
      <c r="D72" s="36"/>
      <c r="E72" s="26"/>
      <c r="F72" s="26"/>
      <c r="G72" s="28"/>
      <c r="H72" s="36">
        <v>32.26</v>
      </c>
      <c r="I72" s="26" t="s">
        <v>251</v>
      </c>
      <c r="J72" s="36"/>
      <c r="K72" s="28"/>
      <c r="L72" s="36" t="s">
        <v>91</v>
      </c>
      <c r="M72" s="28">
        <v>2.9</v>
      </c>
      <c r="N72" s="36" t="s">
        <v>92</v>
      </c>
      <c r="O72" s="26"/>
      <c r="P72" s="36"/>
      <c r="Q72" s="26"/>
      <c r="R72" s="36"/>
      <c r="S72" s="26"/>
      <c r="T72" s="35" t="s">
        <v>131</v>
      </c>
      <c r="U72" s="6">
        <f>(U70-U71)+((U71*(1-(W55/100))))</f>
        <v>10.276028460324001</v>
      </c>
      <c r="V72" s="35" t="s">
        <v>128</v>
      </c>
      <c r="W72" s="36" t="s">
        <v>127</v>
      </c>
      <c r="X72" s="26"/>
      <c r="AF72" s="29"/>
      <c r="AH72" s="34"/>
      <c r="AI72" s="26"/>
      <c r="AJ72" s="26"/>
      <c r="AK72" s="26"/>
      <c r="AL72" s="26"/>
      <c r="AM72" s="26"/>
      <c r="AN72" s="29"/>
    </row>
    <row r="73" spans="2:40">
      <c r="B73" s="25"/>
      <c r="C73" s="28"/>
      <c r="D73" s="36"/>
      <c r="E73" s="26"/>
      <c r="F73" s="26"/>
      <c r="G73" s="28"/>
      <c r="H73" s="112">
        <f>H72*W60/1000/1000</f>
        <v>1.1025337354675024</v>
      </c>
      <c r="I73" s="26" t="s">
        <v>41</v>
      </c>
      <c r="J73" s="36"/>
      <c r="K73" s="28"/>
      <c r="L73" s="38" t="s">
        <v>209</v>
      </c>
      <c r="M73" s="39">
        <f>M70*M71/M72</f>
        <v>16.172028671432138</v>
      </c>
      <c r="N73" s="38" t="s">
        <v>90</v>
      </c>
      <c r="O73" s="26" t="s">
        <v>93</v>
      </c>
      <c r="P73" s="43" t="s">
        <v>107</v>
      </c>
      <c r="Q73" s="44">
        <f>I21</f>
        <v>30</v>
      </c>
      <c r="R73" s="43" t="s">
        <v>12</v>
      </c>
      <c r="S73" s="26"/>
      <c r="T73" s="36" t="s">
        <v>130</v>
      </c>
      <c r="U73" s="28">
        <v>85</v>
      </c>
      <c r="V73" s="36" t="s">
        <v>12</v>
      </c>
      <c r="W73" s="36" t="s">
        <v>686</v>
      </c>
      <c r="X73" s="26"/>
      <c r="AF73" s="29"/>
      <c r="AH73" s="34"/>
      <c r="AI73" s="26"/>
      <c r="AJ73" s="26"/>
      <c r="AK73" s="26"/>
      <c r="AL73" s="26"/>
      <c r="AM73" s="26"/>
      <c r="AN73" s="29"/>
    </row>
    <row r="74" spans="2:40">
      <c r="B74" s="25"/>
      <c r="C74" s="28"/>
      <c r="D74" s="36"/>
      <c r="E74" s="26"/>
      <c r="F74" s="26"/>
      <c r="G74" s="28"/>
      <c r="H74" s="36"/>
      <c r="I74" s="26"/>
      <c r="J74" s="36"/>
      <c r="K74" s="28"/>
      <c r="L74" s="95"/>
      <c r="M74" s="39">
        <f>M73/180*1000</f>
        <v>89.844603730178534</v>
      </c>
      <c r="N74" s="38" t="s">
        <v>20</v>
      </c>
      <c r="O74" s="26"/>
      <c r="P74" s="43" t="s">
        <v>108</v>
      </c>
      <c r="Q74" s="44">
        <f>I22</f>
        <v>50</v>
      </c>
      <c r="R74" s="43" t="s">
        <v>12</v>
      </c>
      <c r="S74" s="26"/>
      <c r="T74" s="308" t="s">
        <v>685</v>
      </c>
      <c r="U74" s="236">
        <f>200/10000</f>
        <v>0.02</v>
      </c>
      <c r="V74" s="38" t="s">
        <v>608</v>
      </c>
      <c r="W74" s="36"/>
      <c r="X74" s="26"/>
      <c r="AE74" s="26"/>
      <c r="AF74" s="29"/>
      <c r="AH74" s="34"/>
      <c r="AI74" s="26"/>
      <c r="AJ74" s="26"/>
      <c r="AK74" s="26"/>
      <c r="AL74" s="26"/>
      <c r="AM74" s="26"/>
      <c r="AN74" s="29"/>
    </row>
    <row r="75" spans="2:40" ht="15.75" thickBot="1">
      <c r="B75" s="25"/>
      <c r="C75" s="28"/>
      <c r="D75" s="36"/>
      <c r="E75" s="26"/>
      <c r="F75" s="26"/>
      <c r="G75" s="28"/>
      <c r="H75" s="36"/>
      <c r="I75" s="26"/>
      <c r="J75" s="36"/>
      <c r="K75" s="28"/>
      <c r="L75" s="3"/>
      <c r="M75" s="85"/>
      <c r="N75" s="3"/>
      <c r="O75" s="26"/>
      <c r="P75" s="49" t="s">
        <v>106</v>
      </c>
      <c r="Q75" s="32">
        <f>Q70*Q73/100</f>
        <v>58441806.8087238</v>
      </c>
      <c r="R75" s="49" t="s">
        <v>103</v>
      </c>
      <c r="S75" s="26"/>
      <c r="T75" s="38"/>
      <c r="U75" s="236">
        <f>U69*U74/100</f>
        <v>2.1980809540799999E-2</v>
      </c>
      <c r="V75" s="38" t="s">
        <v>41</v>
      </c>
      <c r="W75" s="36"/>
      <c r="X75" s="26"/>
      <c r="AE75" s="26"/>
      <c r="AF75" s="29"/>
      <c r="AH75" s="34"/>
      <c r="AI75" s="26"/>
      <c r="AJ75" s="26"/>
      <c r="AK75" s="26"/>
      <c r="AL75" s="26"/>
      <c r="AM75" s="26"/>
      <c r="AN75" s="29"/>
    </row>
    <row r="76" spans="2:40" ht="15.75" thickBot="1">
      <c r="B76" s="25"/>
      <c r="C76" s="28"/>
      <c r="D76" s="36"/>
      <c r="E76" s="26"/>
      <c r="F76" s="26"/>
      <c r="G76" s="28"/>
      <c r="H76" s="36"/>
      <c r="I76" s="26"/>
      <c r="J76" s="36"/>
      <c r="K76" s="28"/>
      <c r="L76" s="3"/>
      <c r="M76" s="85"/>
      <c r="N76" s="3"/>
      <c r="O76" s="26"/>
      <c r="P76" s="50" t="s">
        <v>208</v>
      </c>
      <c r="Q76" s="51">
        <f>Q75*0.004184</f>
        <v>244520.51968770041</v>
      </c>
      <c r="R76" s="58" t="s">
        <v>109</v>
      </c>
      <c r="S76" s="26"/>
      <c r="T76" s="48" t="s">
        <v>611</v>
      </c>
      <c r="U76" s="9">
        <f>U75/2*1000</f>
        <v>10.9904047704</v>
      </c>
      <c r="V76" s="9" t="s">
        <v>613</v>
      </c>
      <c r="W76" s="12" t="s">
        <v>603</v>
      </c>
      <c r="X76" s="111"/>
      <c r="AE76" s="26"/>
      <c r="AF76" s="29"/>
      <c r="AH76" s="34"/>
      <c r="AI76" s="26"/>
      <c r="AJ76" s="26"/>
      <c r="AK76" s="26"/>
      <c r="AL76" s="26"/>
      <c r="AM76" s="26"/>
      <c r="AN76" s="29"/>
    </row>
    <row r="77" spans="2:40" ht="15.75" thickBot="1">
      <c r="B77" s="25"/>
      <c r="C77" s="28"/>
      <c r="D77" s="36"/>
      <c r="E77" s="26"/>
      <c r="F77" s="26"/>
      <c r="G77" s="28"/>
      <c r="H77" s="36"/>
      <c r="I77" s="26"/>
      <c r="J77" s="36"/>
      <c r="K77" s="28"/>
      <c r="L77" s="35" t="s">
        <v>86</v>
      </c>
      <c r="M77" s="86"/>
      <c r="N77" s="36"/>
      <c r="O77" s="26"/>
      <c r="P77" s="49" t="s">
        <v>105</v>
      </c>
      <c r="Q77" s="32">
        <f>Q70*Q74/100</f>
        <v>97403011.347873002</v>
      </c>
      <c r="R77" s="49" t="s">
        <v>103</v>
      </c>
      <c r="S77" s="26"/>
      <c r="T77" s="48" t="s">
        <v>612</v>
      </c>
      <c r="U77" s="9">
        <f>U75/2*1000</f>
        <v>10.9904047704</v>
      </c>
      <c r="V77" s="9" t="s">
        <v>613</v>
      </c>
      <c r="W77" s="12" t="s">
        <v>604</v>
      </c>
      <c r="X77" s="26"/>
      <c r="AE77" s="26"/>
      <c r="AF77" s="29"/>
      <c r="AH77" s="34"/>
      <c r="AI77" s="26"/>
      <c r="AJ77" s="26"/>
      <c r="AK77" s="26"/>
      <c r="AL77" s="26"/>
      <c r="AM77" s="26"/>
      <c r="AN77" s="29"/>
    </row>
    <row r="78" spans="2:40" ht="15.75" thickBot="1">
      <c r="B78" s="25"/>
      <c r="C78" s="28"/>
      <c r="D78" s="36"/>
      <c r="E78" s="26"/>
      <c r="F78" s="26"/>
      <c r="G78" s="28"/>
      <c r="H78" s="36"/>
      <c r="I78" s="26"/>
      <c r="J78" s="36"/>
      <c r="K78" s="28"/>
      <c r="L78" s="36"/>
      <c r="M78" s="86"/>
      <c r="N78" s="36"/>
      <c r="O78" s="26"/>
      <c r="P78" s="53" t="s">
        <v>207</v>
      </c>
      <c r="Q78" s="54">
        <f>Q77*0.004184</f>
        <v>407534.19947950065</v>
      </c>
      <c r="R78" s="94" t="s">
        <v>109</v>
      </c>
      <c r="S78" s="26"/>
      <c r="T78" s="48" t="s">
        <v>614</v>
      </c>
      <c r="U78" s="238">
        <f>U76*4/9</f>
        <v>4.8846243423999995</v>
      </c>
      <c r="V78" s="9" t="s">
        <v>613</v>
      </c>
      <c r="W78" s="36"/>
      <c r="X78" s="26"/>
      <c r="AE78" s="26"/>
      <c r="AF78" s="29"/>
      <c r="AH78" s="34"/>
      <c r="AI78" s="26"/>
      <c r="AJ78" s="26"/>
      <c r="AK78" s="26"/>
      <c r="AL78" s="26"/>
      <c r="AM78" s="26"/>
      <c r="AN78" s="29"/>
    </row>
    <row r="79" spans="2:40">
      <c r="B79" s="25"/>
      <c r="C79" s="28"/>
      <c r="D79" s="36"/>
      <c r="E79" s="26"/>
      <c r="F79" s="26"/>
      <c r="G79" s="28"/>
      <c r="H79" s="36"/>
      <c r="I79" s="26"/>
      <c r="J79" s="36"/>
      <c r="K79" s="28"/>
      <c r="L79" s="43" t="s">
        <v>95</v>
      </c>
      <c r="M79" s="400">
        <v>60</v>
      </c>
      <c r="N79" s="43" t="s">
        <v>12</v>
      </c>
      <c r="O79" s="26"/>
      <c r="P79" s="36"/>
      <c r="Q79" s="28"/>
      <c r="R79" s="36"/>
      <c r="S79" s="26"/>
      <c r="T79" s="48" t="s">
        <v>615</v>
      </c>
      <c r="U79" s="238">
        <f>U77/3</f>
        <v>3.6634682567999999</v>
      </c>
      <c r="V79" s="9" t="s">
        <v>613</v>
      </c>
      <c r="W79" s="36"/>
      <c r="X79" s="26"/>
      <c r="AE79" s="26"/>
      <c r="AF79" s="29"/>
      <c r="AH79" s="34"/>
      <c r="AI79" s="26"/>
      <c r="AJ79" s="26"/>
      <c r="AK79" s="26"/>
      <c r="AL79" s="26"/>
      <c r="AM79" s="26"/>
      <c r="AN79" s="29"/>
    </row>
    <row r="80" spans="2:40">
      <c r="B80" s="25"/>
      <c r="C80" s="28"/>
      <c r="D80" s="36"/>
      <c r="E80" s="26"/>
      <c r="F80" s="26"/>
      <c r="G80" s="28"/>
      <c r="H80" s="36"/>
      <c r="I80" s="26"/>
      <c r="J80" s="26"/>
      <c r="K80" s="28"/>
      <c r="L80" s="36" t="s">
        <v>729</v>
      </c>
      <c r="M80" s="28">
        <v>24516.6</v>
      </c>
      <c r="N80" s="36" t="s">
        <v>96</v>
      </c>
      <c r="O80" s="26"/>
      <c r="P80" s="91" t="s">
        <v>111</v>
      </c>
      <c r="Q80" s="87">
        <f>Q71-Q76-Q78</f>
        <v>163013.67979180021</v>
      </c>
      <c r="R80" s="93" t="s">
        <v>109</v>
      </c>
      <c r="S80" s="26"/>
      <c r="W80" s="36"/>
      <c r="X80" s="26"/>
      <c r="AE80" s="26"/>
      <c r="AF80" s="29"/>
      <c r="AH80" s="34"/>
      <c r="AI80" s="26"/>
      <c r="AJ80" s="26"/>
      <c r="AK80" s="26"/>
      <c r="AL80" s="26"/>
      <c r="AM80" s="26"/>
      <c r="AN80" s="29"/>
    </row>
    <row r="81" spans="2:40" ht="15.75" thickBot="1">
      <c r="B81" s="25"/>
      <c r="C81" s="28"/>
      <c r="D81" s="36"/>
      <c r="E81" s="26"/>
      <c r="F81" s="26"/>
      <c r="G81" s="28"/>
      <c r="H81" s="36"/>
      <c r="I81" s="26"/>
      <c r="J81" s="26"/>
      <c r="K81" s="28"/>
      <c r="L81" s="36"/>
      <c r="M81" s="28">
        <f>M70/(M79/100)*M80/3600/1000</f>
        <v>16.163029754245606</v>
      </c>
      <c r="N81" s="36" t="s">
        <v>97</v>
      </c>
      <c r="O81" s="26"/>
      <c r="P81" s="36"/>
      <c r="Q81" s="26"/>
      <c r="R81" s="36"/>
      <c r="S81" s="26"/>
      <c r="T81" s="92" t="s">
        <v>132</v>
      </c>
      <c r="U81" s="83">
        <f>U72/((100-U73)/100)+U75</f>
        <v>68.528837211700818</v>
      </c>
      <c r="V81" s="92" t="s">
        <v>133</v>
      </c>
      <c r="W81" s="364" t="s">
        <v>806</v>
      </c>
      <c r="X81" s="26"/>
      <c r="AE81" s="26"/>
      <c r="AF81" s="29"/>
      <c r="AH81" s="34"/>
      <c r="AI81" s="26"/>
      <c r="AJ81" s="26"/>
      <c r="AK81" s="26"/>
      <c r="AL81" s="26"/>
      <c r="AM81" s="26"/>
      <c r="AN81" s="29"/>
    </row>
    <row r="82" spans="2:40" ht="15.75" thickBot="1">
      <c r="B82" s="25"/>
      <c r="C82" s="28"/>
      <c r="D82" s="36"/>
      <c r="E82" s="26"/>
      <c r="F82" s="26"/>
      <c r="G82" s="28"/>
      <c r="H82" s="36"/>
      <c r="I82" s="26"/>
      <c r="J82" s="26"/>
      <c r="K82" s="28"/>
      <c r="L82" s="49"/>
      <c r="M82" s="32">
        <v>6915.9056346976176</v>
      </c>
      <c r="N82" s="49" t="s">
        <v>98</v>
      </c>
      <c r="O82" s="26"/>
      <c r="P82" s="36"/>
      <c r="Q82" s="26"/>
      <c r="R82" s="36"/>
      <c r="S82" s="26"/>
      <c r="T82" s="50" t="s">
        <v>250</v>
      </c>
      <c r="U82" s="51">
        <f>7.6*(U72+U75)*3.6*2</f>
        <v>563.50706724700183</v>
      </c>
      <c r="V82" s="58" t="s">
        <v>110</v>
      </c>
      <c r="W82" s="364" t="s">
        <v>808</v>
      </c>
      <c r="X82" s="26"/>
      <c r="AE82" s="26"/>
      <c r="AF82" s="29"/>
      <c r="AH82" s="34"/>
      <c r="AI82" s="26"/>
      <c r="AJ82" s="26"/>
      <c r="AK82" s="26"/>
      <c r="AL82" s="26"/>
      <c r="AM82" s="26"/>
      <c r="AN82" s="29"/>
    </row>
    <row r="83" spans="2:40" ht="17.25" thickBot="1">
      <c r="B83" s="25"/>
      <c r="C83" s="28"/>
      <c r="D83" s="36"/>
      <c r="E83" s="26"/>
      <c r="F83" s="26"/>
      <c r="G83" s="28"/>
      <c r="H83" s="36"/>
      <c r="I83" s="26"/>
      <c r="J83" s="26"/>
      <c r="K83" s="28"/>
      <c r="L83" s="50" t="s">
        <v>150</v>
      </c>
      <c r="M83" s="51">
        <f>M82*0.004184*24</f>
        <v>694.46758021379605</v>
      </c>
      <c r="N83" s="58" t="s">
        <v>109</v>
      </c>
      <c r="O83" s="26"/>
      <c r="P83" s="36"/>
      <c r="Q83" s="26"/>
      <c r="R83" s="36"/>
      <c r="S83" s="26"/>
      <c r="W83" s="365" t="s">
        <v>807</v>
      </c>
      <c r="X83" s="26"/>
      <c r="AE83" s="26"/>
      <c r="AF83" s="29"/>
      <c r="AH83" s="34"/>
      <c r="AI83" s="26"/>
      <c r="AJ83" s="26"/>
      <c r="AK83" s="26"/>
      <c r="AL83" s="26"/>
      <c r="AM83" s="26"/>
      <c r="AN83" s="29"/>
    </row>
    <row r="84" spans="2:40">
      <c r="B84" s="25"/>
      <c r="C84" s="28"/>
      <c r="D84" s="36"/>
      <c r="E84" s="26"/>
      <c r="F84" s="26"/>
      <c r="G84" s="28"/>
      <c r="H84" s="36"/>
      <c r="I84" s="26"/>
      <c r="J84" s="26"/>
      <c r="K84" s="28"/>
      <c r="L84" s="36"/>
      <c r="M84" s="28"/>
      <c r="N84" s="36"/>
      <c r="O84" s="26"/>
      <c r="P84" s="36"/>
      <c r="Q84" s="26"/>
      <c r="R84" s="36"/>
      <c r="S84" s="26"/>
      <c r="T84" s="35" t="s">
        <v>136</v>
      </c>
      <c r="U84" s="26"/>
      <c r="V84" s="36"/>
      <c r="X84" s="26"/>
      <c r="AE84" s="26"/>
      <c r="AF84" s="29"/>
      <c r="AH84" s="34"/>
      <c r="AI84" s="26"/>
      <c r="AJ84" s="26"/>
      <c r="AK84" s="26"/>
      <c r="AL84" s="26"/>
      <c r="AM84" s="26"/>
      <c r="AN84" s="29"/>
    </row>
    <row r="85" spans="2:40">
      <c r="B85" s="25"/>
      <c r="C85" s="28"/>
      <c r="D85" s="36"/>
      <c r="E85" s="26"/>
      <c r="F85" s="26"/>
      <c r="G85" s="28"/>
      <c r="H85" s="36"/>
      <c r="I85" s="26"/>
      <c r="J85" s="26"/>
      <c r="K85" s="28"/>
      <c r="L85" s="36"/>
      <c r="M85" s="36"/>
      <c r="N85" s="26"/>
      <c r="O85" s="36"/>
      <c r="P85" s="36"/>
      <c r="Q85" s="26"/>
      <c r="R85" s="36"/>
      <c r="S85" s="26"/>
      <c r="T85" s="92" t="s">
        <v>134</v>
      </c>
      <c r="U85" s="83">
        <f>U69-U81</f>
        <v>41.375210492299175</v>
      </c>
      <c r="V85" s="92" t="s">
        <v>41</v>
      </c>
      <c r="W85" s="36"/>
      <c r="X85" s="26"/>
      <c r="AE85" s="26"/>
      <c r="AF85" s="29"/>
      <c r="AH85" s="34"/>
      <c r="AI85" s="26"/>
      <c r="AJ85" s="26"/>
      <c r="AK85" s="26"/>
      <c r="AL85" s="26"/>
      <c r="AM85" s="26"/>
      <c r="AN85" s="29"/>
    </row>
    <row r="86" spans="2:40">
      <c r="B86" s="25"/>
      <c r="C86" s="28"/>
      <c r="D86" s="36"/>
      <c r="E86" s="26"/>
      <c r="F86" s="26"/>
      <c r="G86" s="28"/>
      <c r="H86" s="36"/>
      <c r="I86" s="26"/>
      <c r="J86" s="26"/>
      <c r="K86" s="28"/>
      <c r="L86" s="36"/>
      <c r="M86" s="36"/>
      <c r="N86" s="26"/>
      <c r="O86" s="36"/>
      <c r="P86" s="36"/>
      <c r="Q86" s="26"/>
      <c r="R86" s="36"/>
      <c r="S86" s="26"/>
      <c r="T86" s="36"/>
      <c r="U86" s="26"/>
      <c r="V86" s="36"/>
      <c r="W86" s="36"/>
      <c r="X86" s="26"/>
      <c r="AE86" s="26"/>
      <c r="AF86" s="29"/>
      <c r="AH86" s="34"/>
      <c r="AI86" s="26"/>
      <c r="AJ86" s="26"/>
      <c r="AK86" s="26"/>
      <c r="AL86" s="26"/>
      <c r="AM86" s="26"/>
      <c r="AN86" s="29"/>
    </row>
    <row r="87" spans="2:40">
      <c r="B87" s="25"/>
      <c r="C87" s="28"/>
      <c r="D87" s="36"/>
      <c r="E87" s="26"/>
      <c r="F87" s="26"/>
      <c r="G87" s="28"/>
      <c r="H87" s="36"/>
      <c r="I87" s="26"/>
      <c r="J87" s="26"/>
      <c r="K87" s="28"/>
      <c r="L87" s="36"/>
      <c r="M87" s="36"/>
      <c r="N87" s="26"/>
      <c r="O87" s="36"/>
      <c r="P87" s="36"/>
      <c r="Q87" s="26"/>
      <c r="R87" s="36"/>
      <c r="S87" s="26"/>
      <c r="T87" s="36"/>
      <c r="U87" s="26"/>
      <c r="V87" s="36"/>
      <c r="W87" s="36"/>
      <c r="X87" s="26"/>
      <c r="AE87" s="26"/>
      <c r="AF87" s="29"/>
      <c r="AH87" s="34"/>
      <c r="AI87" s="26"/>
      <c r="AJ87" s="26"/>
      <c r="AK87" s="26"/>
      <c r="AL87" s="26"/>
      <c r="AM87" s="26"/>
      <c r="AN87" s="29"/>
    </row>
    <row r="88" spans="2:40">
      <c r="B88" s="25"/>
      <c r="C88" s="28"/>
      <c r="D88" s="36"/>
      <c r="E88" s="26"/>
      <c r="F88" s="26"/>
      <c r="G88" s="28"/>
      <c r="H88" s="36"/>
      <c r="I88" s="26"/>
      <c r="J88" s="26"/>
      <c r="K88" s="28"/>
      <c r="L88" s="36"/>
      <c r="M88" s="36"/>
      <c r="N88" s="26"/>
      <c r="O88" s="36"/>
      <c r="P88" s="36"/>
      <c r="Q88" s="26"/>
      <c r="R88" s="36"/>
      <c r="S88" s="26"/>
      <c r="T88" s="35" t="s">
        <v>730</v>
      </c>
      <c r="U88" s="26"/>
      <c r="V88" s="36"/>
      <c r="W88" s="36"/>
      <c r="X88" s="26"/>
      <c r="AE88" s="26"/>
      <c r="AF88" s="29"/>
      <c r="AH88" s="34"/>
      <c r="AI88" s="26"/>
      <c r="AJ88" s="26"/>
      <c r="AK88" s="26"/>
      <c r="AL88" s="26"/>
      <c r="AM88" s="26"/>
      <c r="AN88" s="29"/>
    </row>
    <row r="89" spans="2:40">
      <c r="B89" s="25"/>
      <c r="C89" s="28"/>
      <c r="D89" s="26"/>
      <c r="E89" s="26"/>
      <c r="F89" s="26"/>
      <c r="G89" s="28"/>
      <c r="H89" s="36"/>
      <c r="I89" s="26"/>
      <c r="J89" s="26"/>
      <c r="K89" s="28"/>
      <c r="L89" s="36"/>
      <c r="M89" s="36"/>
      <c r="N89" s="26"/>
      <c r="O89" s="36"/>
      <c r="P89" s="36"/>
      <c r="Q89" s="26"/>
      <c r="R89" s="36"/>
      <c r="S89" s="26"/>
      <c r="T89" s="35" t="s">
        <v>132</v>
      </c>
      <c r="U89" s="6">
        <f>U81</f>
        <v>68.528837211700818</v>
      </c>
      <c r="V89" s="35" t="s">
        <v>133</v>
      </c>
      <c r="W89" s="36"/>
      <c r="X89" s="26"/>
      <c r="AE89" s="26"/>
      <c r="AF89" s="29"/>
      <c r="AH89" s="34"/>
      <c r="AI89" s="26"/>
      <c r="AJ89" s="26"/>
      <c r="AK89" s="26"/>
      <c r="AL89" s="26"/>
      <c r="AM89" s="26"/>
      <c r="AN89" s="29"/>
    </row>
    <row r="90" spans="2:40">
      <c r="B90" s="25"/>
      <c r="C90" s="28"/>
      <c r="D90" s="26"/>
      <c r="E90" s="26"/>
      <c r="F90" s="26"/>
      <c r="G90" s="28"/>
      <c r="H90" s="36"/>
      <c r="I90" s="26"/>
      <c r="J90" s="26"/>
      <c r="K90" s="28"/>
      <c r="L90" s="36"/>
      <c r="M90" s="36"/>
      <c r="N90" s="26"/>
      <c r="O90" s="36"/>
      <c r="P90" s="36"/>
      <c r="Q90" s="26"/>
      <c r="R90" s="36"/>
      <c r="S90" s="26"/>
      <c r="T90" s="35" t="s">
        <v>1</v>
      </c>
      <c r="U90" s="27">
        <f>G39/1000</f>
        <v>1.7546320000000029</v>
      </c>
      <c r="V90" s="35" t="s">
        <v>189</v>
      </c>
      <c r="W90" s="36"/>
      <c r="X90" s="26"/>
      <c r="AE90" s="26"/>
      <c r="AF90" s="29"/>
      <c r="AH90" s="34"/>
      <c r="AI90" s="26"/>
      <c r="AJ90" s="26"/>
      <c r="AK90" s="26"/>
      <c r="AL90" s="26"/>
      <c r="AM90" s="26"/>
      <c r="AN90" s="29"/>
    </row>
    <row r="91" spans="2:40">
      <c r="B91" s="25"/>
      <c r="C91" s="28"/>
      <c r="D91" s="26"/>
      <c r="E91" s="26"/>
      <c r="F91" s="26"/>
      <c r="G91" s="28"/>
      <c r="H91" s="36"/>
      <c r="I91" s="26"/>
      <c r="J91" s="26"/>
      <c r="K91" s="28"/>
      <c r="L91" s="36"/>
      <c r="M91" s="36"/>
      <c r="N91" s="26"/>
      <c r="O91" s="36"/>
      <c r="P91" s="36"/>
      <c r="Q91" s="26"/>
      <c r="R91" s="36"/>
      <c r="S91" s="26"/>
      <c r="T91" s="36"/>
      <c r="U91" s="26"/>
      <c r="V91" s="36"/>
      <c r="W91" s="26"/>
      <c r="X91" s="36"/>
      <c r="Y91" s="26"/>
      <c r="Z91" s="36"/>
      <c r="AA91" s="36"/>
      <c r="AB91" s="26"/>
      <c r="AE91" s="26"/>
      <c r="AF91" s="29"/>
      <c r="AH91" s="34"/>
      <c r="AI91" s="26"/>
      <c r="AJ91" s="26"/>
      <c r="AK91" s="26"/>
      <c r="AL91" s="26"/>
      <c r="AM91" s="26"/>
      <c r="AN91" s="29"/>
    </row>
    <row r="92" spans="2:40">
      <c r="B92" s="25"/>
      <c r="C92" s="28"/>
      <c r="D92" s="26"/>
      <c r="E92" s="26"/>
      <c r="F92" s="26"/>
      <c r="G92" s="28"/>
      <c r="H92" s="36"/>
      <c r="I92" s="26"/>
      <c r="J92" s="26"/>
      <c r="K92" s="28"/>
      <c r="L92" s="36"/>
      <c r="M92" s="26"/>
      <c r="N92" s="26"/>
      <c r="O92" s="26"/>
      <c r="P92" s="28"/>
      <c r="Q92" s="26"/>
      <c r="R92" s="26"/>
      <c r="S92" s="26"/>
      <c r="T92" s="28"/>
      <c r="U92" s="26"/>
      <c r="V92" s="26"/>
      <c r="W92" s="26"/>
      <c r="X92" s="36"/>
      <c r="Y92" s="26"/>
      <c r="Z92" s="26"/>
      <c r="AA92" s="26"/>
      <c r="AB92" s="26"/>
      <c r="AC92" s="26"/>
      <c r="AD92" s="26"/>
      <c r="AE92" s="26"/>
      <c r="AF92" s="29"/>
      <c r="AH92" s="34"/>
      <c r="AI92" s="26"/>
      <c r="AJ92" s="26"/>
      <c r="AK92" s="26"/>
      <c r="AL92" s="26"/>
      <c r="AM92" s="26"/>
      <c r="AN92" s="29"/>
    </row>
    <row r="93" spans="2:40" ht="15.75" thickBot="1">
      <c r="B93" s="61"/>
      <c r="C93" s="63"/>
      <c r="D93" s="62"/>
      <c r="E93" s="62"/>
      <c r="F93" s="62"/>
      <c r="G93" s="63"/>
      <c r="H93" s="62"/>
      <c r="I93" s="62"/>
      <c r="J93" s="62"/>
      <c r="K93" s="63"/>
      <c r="L93" s="80"/>
      <c r="M93" s="62"/>
      <c r="N93" s="62"/>
      <c r="O93" s="62"/>
      <c r="P93" s="63"/>
      <c r="Q93" s="62"/>
      <c r="R93" s="62"/>
      <c r="S93" s="62"/>
      <c r="T93" s="63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4"/>
      <c r="AH93" s="61"/>
      <c r="AI93" s="62"/>
      <c r="AJ93" s="62"/>
      <c r="AK93" s="62"/>
      <c r="AL93" s="62"/>
      <c r="AM93" s="62"/>
      <c r="AN93" s="64"/>
    </row>
    <row r="94" spans="2:40">
      <c r="C94" s="12"/>
      <c r="O94" s="9"/>
      <c r="P94" s="12"/>
      <c r="AB94" s="9"/>
    </row>
    <row r="95" spans="2:40">
      <c r="C95" s="12"/>
      <c r="O95" s="9"/>
      <c r="P95" s="12"/>
      <c r="AB95" s="9"/>
    </row>
    <row r="96" spans="2:40">
      <c r="C96" s="12"/>
      <c r="O96" s="9"/>
      <c r="P96" s="12"/>
      <c r="AB96" s="9"/>
    </row>
    <row r="97" spans="2:40" ht="17.25">
      <c r="B97" s="362" t="s">
        <v>218</v>
      </c>
      <c r="C97" s="12"/>
      <c r="O97" s="9"/>
      <c r="P97" s="12"/>
      <c r="AB97" s="9"/>
    </row>
    <row r="98" spans="2:40" ht="21.75" thickBot="1">
      <c r="B98" s="7" t="s">
        <v>780</v>
      </c>
      <c r="C98" s="12"/>
      <c r="O98" s="9"/>
      <c r="P98" s="12"/>
      <c r="AB98" s="9"/>
    </row>
    <row r="99" spans="2:40">
      <c r="B99" s="68"/>
      <c r="C99" s="21"/>
      <c r="D99" s="19"/>
      <c r="E99" s="19"/>
      <c r="F99" s="19"/>
      <c r="G99" s="21"/>
      <c r="H99" s="19"/>
      <c r="I99" s="19"/>
      <c r="J99" s="19"/>
      <c r="K99" s="21"/>
      <c r="L99" s="19"/>
      <c r="M99" s="19"/>
      <c r="N99" s="19"/>
      <c r="O99" s="19"/>
      <c r="P99" s="21"/>
      <c r="Q99" s="19"/>
      <c r="R99" s="19"/>
      <c r="S99" s="19"/>
      <c r="T99" s="21"/>
      <c r="U99" s="19"/>
      <c r="V99" s="19"/>
      <c r="W99" s="19"/>
      <c r="X99" s="21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22"/>
    </row>
    <row r="100" spans="2:40">
      <c r="B100" s="34"/>
      <c r="C100" s="118" t="s">
        <v>191</v>
      </c>
      <c r="D100" s="26"/>
      <c r="E100" s="26"/>
      <c r="F100" s="26"/>
      <c r="G100" s="26"/>
      <c r="H100" s="26"/>
      <c r="I100" s="26"/>
      <c r="J100" s="26"/>
      <c r="K100" s="28"/>
      <c r="L100" s="26"/>
      <c r="M100" s="26"/>
      <c r="N100" s="26"/>
      <c r="O100" s="28"/>
      <c r="P100" s="26"/>
      <c r="Q100" s="26"/>
      <c r="R100" s="26"/>
      <c r="S100" s="26"/>
      <c r="T100" s="26"/>
      <c r="U100" s="290" t="s">
        <v>655</v>
      </c>
      <c r="V100" s="291"/>
      <c r="W100" s="420">
        <v>1440</v>
      </c>
      <c r="X100" s="293" t="s">
        <v>575</v>
      </c>
      <c r="Y100" s="26"/>
      <c r="Z100" s="26"/>
      <c r="AA100" s="28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9"/>
    </row>
    <row r="101" spans="2:40">
      <c r="B101" s="34"/>
      <c r="C101" s="115"/>
      <c r="D101" s="114"/>
      <c r="E101" s="114"/>
      <c r="F101" s="140" t="s">
        <v>231</v>
      </c>
      <c r="G101" s="140"/>
      <c r="H101" s="140" t="s">
        <v>232</v>
      </c>
      <c r="I101" s="140"/>
      <c r="J101" s="140"/>
      <c r="K101" s="140" t="s">
        <v>233</v>
      </c>
      <c r="L101" s="140"/>
      <c r="M101" s="140"/>
      <c r="N101" s="140"/>
      <c r="O101" s="140"/>
      <c r="P101" s="140"/>
      <c r="Q101" s="140" t="s">
        <v>213</v>
      </c>
      <c r="R101" s="140" t="s">
        <v>234</v>
      </c>
      <c r="S101" s="116" t="s">
        <v>242</v>
      </c>
      <c r="T101" s="26"/>
      <c r="U101" s="295" t="s">
        <v>656</v>
      </c>
      <c r="V101" s="79"/>
      <c r="W101" s="79"/>
      <c r="X101" s="71"/>
      <c r="Y101" s="26"/>
      <c r="Z101" s="26"/>
      <c r="AA101" s="28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9"/>
    </row>
    <row r="102" spans="2:40" ht="15.75" thickBot="1">
      <c r="B102" s="34"/>
      <c r="C102" s="141"/>
      <c r="D102" s="142"/>
      <c r="E102" s="142" t="s">
        <v>219</v>
      </c>
      <c r="F102" s="142" t="s">
        <v>239</v>
      </c>
      <c r="G102" s="142" t="s">
        <v>240</v>
      </c>
      <c r="H102" s="142" t="s">
        <v>258</v>
      </c>
      <c r="I102" s="142" t="s">
        <v>235</v>
      </c>
      <c r="J102" s="142" t="s">
        <v>161</v>
      </c>
      <c r="K102" s="142" t="s">
        <v>236</v>
      </c>
      <c r="L102" s="142" t="s">
        <v>237</v>
      </c>
      <c r="M102" s="142" t="s">
        <v>197</v>
      </c>
      <c r="N102" s="142" t="s">
        <v>257</v>
      </c>
      <c r="O102" s="142" t="s">
        <v>238</v>
      </c>
      <c r="P102" s="142" t="s">
        <v>115</v>
      </c>
      <c r="Q102" s="142" t="s">
        <v>239</v>
      </c>
      <c r="R102" s="142"/>
      <c r="S102" s="117"/>
      <c r="T102" s="26"/>
      <c r="U102" s="296" t="s">
        <v>241</v>
      </c>
      <c r="V102" s="294" t="s">
        <v>219</v>
      </c>
      <c r="W102" s="294" t="s">
        <v>241</v>
      </c>
      <c r="X102" s="297" t="s">
        <v>219</v>
      </c>
      <c r="Y102" s="26"/>
      <c r="Z102" s="26"/>
      <c r="AA102" s="28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9"/>
    </row>
    <row r="103" spans="2:40" ht="17.25" thickTop="1">
      <c r="B103" s="34"/>
      <c r="C103" s="143" t="s">
        <v>220</v>
      </c>
      <c r="D103" s="2" t="s">
        <v>104</v>
      </c>
      <c r="E103" s="2" t="s">
        <v>110</v>
      </c>
      <c r="F103" s="28">
        <f>-G16</f>
        <v>-252</v>
      </c>
      <c r="G103" s="28">
        <f>-SUM(K18:K19)</f>
        <v>-3129.2</v>
      </c>
      <c r="H103" s="28">
        <f>-(T21+T38)</f>
        <v>-9649.1828694087199</v>
      </c>
      <c r="I103" s="28">
        <f>-X29</f>
        <v>-3624.7148162041149</v>
      </c>
      <c r="J103" s="28">
        <f>-(AB18+AB19)</f>
        <v>-7949.5510899947985</v>
      </c>
      <c r="K103" s="28"/>
      <c r="L103" s="28"/>
      <c r="M103" s="28">
        <f>-Q59</f>
        <v>-71.13600000000001</v>
      </c>
      <c r="N103" s="28"/>
      <c r="O103" s="28">
        <f>-M83</f>
        <v>-694.46758021379605</v>
      </c>
      <c r="P103" s="28">
        <f>Q76</f>
        <v>244520.51968770041</v>
      </c>
      <c r="Q103" s="28">
        <f>-U82</f>
        <v>-563.50706724700183</v>
      </c>
      <c r="R103" s="28">
        <f>SUM(F103:Q103)</f>
        <v>218586.76026463197</v>
      </c>
      <c r="S103" s="230">
        <f>R103/3.6*W103*(O25/100)</f>
        <v>4427.393871100764</v>
      </c>
      <c r="T103" s="26"/>
      <c r="U103" s="414">
        <v>105</v>
      </c>
      <c r="V103" s="26" t="s">
        <v>338</v>
      </c>
      <c r="W103" s="418">
        <f>U103/$W$100</f>
        <v>7.2916666666666671E-2</v>
      </c>
      <c r="X103" s="75" t="s">
        <v>246</v>
      </c>
      <c r="Y103" s="26"/>
      <c r="Z103" s="26"/>
      <c r="AA103" s="28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9"/>
    </row>
    <row r="104" spans="2:40">
      <c r="B104" s="34"/>
      <c r="C104" s="143"/>
      <c r="D104" s="2" t="s">
        <v>194</v>
      </c>
      <c r="E104" s="2" t="s">
        <v>110</v>
      </c>
      <c r="F104" s="28"/>
      <c r="G104" s="28"/>
      <c r="H104" s="28">
        <f>-T18</f>
        <v>-9519.231534354667</v>
      </c>
      <c r="I104" s="28">
        <f>-X28</f>
        <v>-7249.4296324082297</v>
      </c>
      <c r="J104" s="28"/>
      <c r="K104" s="28">
        <f>-M60</f>
        <v>-597.79009627159678</v>
      </c>
      <c r="L104" s="28">
        <f>-I62</f>
        <v>-149.15555889630977</v>
      </c>
      <c r="M104" s="28"/>
      <c r="N104" s="28"/>
      <c r="O104" s="28"/>
      <c r="P104" s="28">
        <f>Q78</f>
        <v>407534.19947950065</v>
      </c>
      <c r="Q104" s="28"/>
      <c r="R104" s="28">
        <f t="shared" ref="R104:R107" si="0">SUM(F104:Q104)</f>
        <v>390018.59265756985</v>
      </c>
      <c r="S104" s="230">
        <v>0</v>
      </c>
      <c r="T104" s="26"/>
      <c r="U104" s="414"/>
      <c r="V104" s="26"/>
      <c r="W104" s="418">
        <f>U104/$W$100</f>
        <v>0</v>
      </c>
      <c r="X104" s="75"/>
      <c r="Y104" s="26"/>
      <c r="Z104" s="26"/>
      <c r="AA104" s="28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9"/>
    </row>
    <row r="105" spans="2:40">
      <c r="B105" s="34"/>
      <c r="C105" s="143" t="s">
        <v>221</v>
      </c>
      <c r="D105" s="2" t="s">
        <v>25</v>
      </c>
      <c r="E105" s="2" t="s">
        <v>255</v>
      </c>
      <c r="F105" s="28">
        <f>G10/1000</f>
        <v>20.209199999999999</v>
      </c>
      <c r="G105" s="28">
        <f>K13/1000</f>
        <v>20.597367999999999</v>
      </c>
      <c r="H105" s="28">
        <f>-T9/1000</f>
        <v>-2.2657104799999996</v>
      </c>
      <c r="I105" s="28"/>
      <c r="J105" s="28"/>
      <c r="K105" s="28"/>
      <c r="L105" s="6"/>
      <c r="M105" s="28"/>
      <c r="N105" s="28">
        <f>-H73</f>
        <v>-1.1025337354675024</v>
      </c>
      <c r="O105" s="28"/>
      <c r="P105" s="28"/>
      <c r="Q105" s="28"/>
      <c r="R105" s="28">
        <f t="shared" si="0"/>
        <v>37.438323784532493</v>
      </c>
      <c r="S105" s="230">
        <f t="shared" ref="S105:S109" si="1">-R105*W105</f>
        <v>-18.693163056304765</v>
      </c>
      <c r="T105" s="26"/>
      <c r="U105" s="414">
        <v>719</v>
      </c>
      <c r="V105" s="26" t="s">
        <v>243</v>
      </c>
      <c r="W105" s="418">
        <f>U105/$W$100</f>
        <v>0.49930555555555556</v>
      </c>
      <c r="X105" s="75" t="s">
        <v>247</v>
      </c>
      <c r="Y105" s="26"/>
      <c r="Z105" s="26"/>
      <c r="AA105" s="28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9"/>
    </row>
    <row r="106" spans="2:40" ht="16.5">
      <c r="B106" s="34"/>
      <c r="C106" s="143"/>
      <c r="D106" s="2" t="s">
        <v>222</v>
      </c>
      <c r="E106" s="2" t="s">
        <v>13</v>
      </c>
      <c r="F106" s="28">
        <f>K14</f>
        <v>51.49342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>
        <f t="shared" si="0"/>
        <v>51.49342</v>
      </c>
      <c r="S106" s="230">
        <f t="shared" si="1"/>
        <v>-20.978800740740741</v>
      </c>
      <c r="T106" s="26"/>
      <c r="U106" s="414">
        <f>11000/18.75</f>
        <v>586.66666666666663</v>
      </c>
      <c r="V106" s="113" t="s">
        <v>574</v>
      </c>
      <c r="W106" s="418">
        <f>U106/$W$100</f>
        <v>0.40740740740740738</v>
      </c>
      <c r="X106" s="75" t="s">
        <v>580</v>
      </c>
      <c r="Y106" s="26"/>
      <c r="Z106" s="26"/>
      <c r="AA106" s="28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9"/>
    </row>
    <row r="107" spans="2:40" ht="16.5">
      <c r="B107" s="34"/>
      <c r="C107" s="143"/>
      <c r="D107" s="2" t="s">
        <v>224</v>
      </c>
      <c r="E107" s="2" t="s">
        <v>4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>
        <f>M74</f>
        <v>89.844603730178534</v>
      </c>
      <c r="P107" s="28"/>
      <c r="Q107" s="28"/>
      <c r="R107" s="28">
        <f t="shared" si="0"/>
        <v>89.844603730178534</v>
      </c>
      <c r="S107" s="230">
        <f t="shared" si="1"/>
        <v>-164.65271475273693</v>
      </c>
      <c r="T107" s="26"/>
      <c r="U107" s="414">
        <v>2639</v>
      </c>
      <c r="V107" s="113" t="s">
        <v>573</v>
      </c>
      <c r="W107" s="418">
        <f>U107/$W$100</f>
        <v>1.8326388888888889</v>
      </c>
      <c r="X107" s="75" t="s">
        <v>248</v>
      </c>
      <c r="Y107" s="26"/>
      <c r="Z107" s="26"/>
      <c r="AA107" s="28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9"/>
    </row>
    <row r="108" spans="2:40">
      <c r="B108" s="34"/>
      <c r="C108" s="74"/>
      <c r="D108" s="2" t="s">
        <v>614</v>
      </c>
      <c r="E108" s="26" t="s">
        <v>609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>
        <f>U78</f>
        <v>4.8846243423999995</v>
      </c>
      <c r="S108" s="230">
        <f t="shared" si="1"/>
        <v>-6.8384740793599992</v>
      </c>
      <c r="T108" s="26"/>
      <c r="U108" s="415"/>
      <c r="V108" s="26"/>
      <c r="W108" s="404">
        <v>1.4</v>
      </c>
      <c r="X108" s="75" t="s">
        <v>607</v>
      </c>
      <c r="Y108" s="26"/>
      <c r="Z108" s="26"/>
      <c r="AA108" s="28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9"/>
    </row>
    <row r="109" spans="2:40" ht="16.5">
      <c r="B109" s="34"/>
      <c r="C109" s="74"/>
      <c r="D109" s="2" t="s">
        <v>615</v>
      </c>
      <c r="E109" s="7" t="s">
        <v>609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>
        <f>U79</f>
        <v>3.6634682567999999</v>
      </c>
      <c r="S109" s="230">
        <f t="shared" si="1"/>
        <v>-0.8792323816319999</v>
      </c>
      <c r="T109" s="26"/>
      <c r="U109" s="415"/>
      <c r="V109" s="26"/>
      <c r="W109" s="418">
        <f>(0.18+0.3)/2</f>
        <v>0.24</v>
      </c>
      <c r="X109" s="75" t="s">
        <v>607</v>
      </c>
      <c r="Y109" s="26"/>
      <c r="Z109" s="26"/>
      <c r="AA109" s="28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9"/>
    </row>
    <row r="110" spans="2:40">
      <c r="B110" s="34"/>
      <c r="C110" s="143" t="s">
        <v>225</v>
      </c>
      <c r="D110" s="2" t="s">
        <v>226</v>
      </c>
      <c r="E110" s="2" t="s">
        <v>256</v>
      </c>
      <c r="F110" s="28"/>
      <c r="G110" s="28"/>
      <c r="H110" s="28"/>
      <c r="I110" s="28">
        <f>AF9</f>
        <v>1.0298684000000007</v>
      </c>
      <c r="J110" s="28"/>
      <c r="K110" s="28">
        <f>U90</f>
        <v>1.7546320000000029</v>
      </c>
      <c r="L110" s="28"/>
      <c r="M110" s="28"/>
      <c r="N110" s="28"/>
      <c r="O110" s="28"/>
      <c r="P110" s="28"/>
      <c r="Q110" s="28"/>
      <c r="R110" s="28">
        <f>SUM(F110:Q110)</f>
        <v>2.7845004000000033</v>
      </c>
      <c r="S110" s="230">
        <f>-R110*W110</f>
        <v>-212.70489166666692</v>
      </c>
      <c r="T110" s="26"/>
      <c r="U110" s="414">
        <v>110000</v>
      </c>
      <c r="V110" s="26" t="s">
        <v>245</v>
      </c>
      <c r="W110" s="418">
        <f>U110/$W$100</f>
        <v>76.388888888888886</v>
      </c>
      <c r="X110" s="75" t="s">
        <v>249</v>
      </c>
      <c r="Y110" s="26"/>
      <c r="Z110" s="26"/>
      <c r="AA110" s="28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9"/>
    </row>
    <row r="111" spans="2:40">
      <c r="B111" s="34"/>
      <c r="C111" s="143"/>
      <c r="D111" s="2" t="s">
        <v>227</v>
      </c>
      <c r="E111" s="2" t="s">
        <v>256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>
        <f>U81</f>
        <v>68.528837211700818</v>
      </c>
      <c r="R111" s="28">
        <f>SUM(F111:Q111)</f>
        <v>68.528837211700818</v>
      </c>
      <c r="S111" s="230">
        <f>-R111*W111</f>
        <v>-5234.8417314493681</v>
      </c>
      <c r="T111" s="26"/>
      <c r="U111" s="414">
        <v>110000</v>
      </c>
      <c r="V111" s="26" t="s">
        <v>245</v>
      </c>
      <c r="W111" s="418">
        <f>U111/$W$100</f>
        <v>76.388888888888886</v>
      </c>
      <c r="X111" s="75" t="s">
        <v>249</v>
      </c>
      <c r="Y111" s="26"/>
      <c r="Z111" s="26"/>
      <c r="AA111" s="28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9"/>
    </row>
    <row r="112" spans="2:40">
      <c r="B112" s="34"/>
      <c r="C112" s="143"/>
      <c r="D112" s="2" t="s">
        <v>228</v>
      </c>
      <c r="E112" s="2" t="s">
        <v>255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>
        <f>U85</f>
        <v>41.375210492299175</v>
      </c>
      <c r="R112" s="28">
        <f>SUM(F112:Q112)</f>
        <v>41.375210492299175</v>
      </c>
      <c r="S112" s="230">
        <f>-R112*W112</f>
        <v>-7.987714247818869</v>
      </c>
      <c r="T112" s="26"/>
      <c r="U112" s="414">
        <v>278</v>
      </c>
      <c r="V112" s="26" t="s">
        <v>243</v>
      </c>
      <c r="W112" s="418">
        <f>U112/$W$100</f>
        <v>0.19305555555555556</v>
      </c>
      <c r="X112" s="75" t="s">
        <v>247</v>
      </c>
      <c r="Y112" s="26"/>
      <c r="Z112" s="26"/>
      <c r="AA112" s="28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9"/>
    </row>
    <row r="113" spans="2:40" ht="16.5">
      <c r="B113" s="34"/>
      <c r="C113" s="144" t="s">
        <v>229</v>
      </c>
      <c r="D113" s="145" t="s">
        <v>230</v>
      </c>
      <c r="E113" s="145" t="s">
        <v>256</v>
      </c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>
        <f>AF8</f>
        <v>19.567499599999998</v>
      </c>
      <c r="R113" s="77">
        <f>SUM(F113:Q113)</f>
        <v>19.567499599999998</v>
      </c>
      <c r="S113" s="231">
        <f>R113*W113*(M25/100)</f>
        <v>5076.6790628888884</v>
      </c>
      <c r="T113" s="26"/>
      <c r="U113" s="416">
        <v>373600</v>
      </c>
      <c r="V113" s="81" t="s">
        <v>339</v>
      </c>
      <c r="W113" s="402">
        <f>U113/$W$100</f>
        <v>259.44444444444446</v>
      </c>
      <c r="X113" s="78" t="s">
        <v>253</v>
      </c>
      <c r="Y113" s="26"/>
      <c r="Z113" s="26"/>
      <c r="AA113" s="28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9"/>
    </row>
    <row r="114" spans="2:40">
      <c r="B114" s="34"/>
      <c r="C114" s="26"/>
      <c r="D114" s="26"/>
      <c r="E114" s="26"/>
      <c r="F114" s="26"/>
      <c r="G114" s="28"/>
      <c r="H114" s="26"/>
      <c r="I114" s="26"/>
      <c r="J114" s="28"/>
      <c r="K114" s="26"/>
      <c r="L114" s="26"/>
      <c r="M114" s="26"/>
      <c r="N114" s="28"/>
      <c r="O114" s="26"/>
      <c r="P114" s="27" t="s">
        <v>616</v>
      </c>
      <c r="Q114" s="27" t="s">
        <v>104</v>
      </c>
      <c r="R114" s="27">
        <f>R103</f>
        <v>218586.76026463197</v>
      </c>
      <c r="S114" s="27" t="s">
        <v>110</v>
      </c>
      <c r="T114" s="26"/>
      <c r="U114" s="26"/>
      <c r="V114" s="6">
        <f>R114/($C$7+$C$10)*1000</f>
        <v>2436.4300711649203</v>
      </c>
      <c r="W114" s="27" t="s">
        <v>781</v>
      </c>
      <c r="X114" s="26"/>
      <c r="Y114" s="26"/>
      <c r="Z114" s="26"/>
      <c r="AA114" s="28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9"/>
    </row>
    <row r="115" spans="2:40">
      <c r="B115" s="34"/>
      <c r="C115" s="26"/>
      <c r="D115" s="26"/>
      <c r="E115" s="26"/>
      <c r="F115" s="26"/>
      <c r="G115" s="28"/>
      <c r="H115" s="26"/>
      <c r="I115" s="26"/>
      <c r="J115" s="26"/>
      <c r="K115" s="28"/>
      <c r="L115" s="26"/>
      <c r="M115" s="26"/>
      <c r="N115" s="26"/>
      <c r="O115" s="28"/>
      <c r="P115" s="27"/>
      <c r="Q115" s="27"/>
      <c r="R115" s="6">
        <f>R114/1000</f>
        <v>218.58676026463198</v>
      </c>
      <c r="S115" s="27" t="s">
        <v>733</v>
      </c>
      <c r="T115" s="28"/>
      <c r="U115" s="26"/>
      <c r="V115" s="6">
        <f t="shared" ref="V115:V120" si="2">R115/($C$7+$C$10)*1000</f>
        <v>2.4364300711649203</v>
      </c>
      <c r="W115" s="27" t="s">
        <v>783</v>
      </c>
      <c r="X115" s="28"/>
      <c r="Y115" s="26"/>
      <c r="Z115" s="26"/>
      <c r="AA115" s="26"/>
      <c r="AB115" s="28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9"/>
    </row>
    <row r="116" spans="2:40">
      <c r="B116" s="34"/>
      <c r="C116" s="26"/>
      <c r="D116" s="26"/>
      <c r="E116" s="26"/>
      <c r="F116" s="26"/>
      <c r="G116" s="28"/>
      <c r="H116" s="26"/>
      <c r="I116" s="26"/>
      <c r="J116" s="26"/>
      <c r="K116" s="28"/>
      <c r="L116" s="26"/>
      <c r="M116" s="26"/>
      <c r="N116" s="26"/>
      <c r="O116" s="28"/>
      <c r="P116" s="27"/>
      <c r="Q116" s="27" t="s">
        <v>194</v>
      </c>
      <c r="R116" s="27">
        <f>R104</f>
        <v>390018.59265756985</v>
      </c>
      <c r="S116" s="27" t="s">
        <v>110</v>
      </c>
      <c r="T116" s="28"/>
      <c r="U116" s="26"/>
      <c r="V116" s="6">
        <f t="shared" si="2"/>
        <v>4347.257932337262</v>
      </c>
      <c r="W116" s="27" t="s">
        <v>781</v>
      </c>
      <c r="X116" s="28"/>
      <c r="Y116" s="26"/>
      <c r="Z116" s="26"/>
      <c r="AA116" s="26"/>
      <c r="AB116" s="28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9"/>
    </row>
    <row r="117" spans="2:40">
      <c r="B117" s="34"/>
      <c r="C117" s="26"/>
      <c r="D117" s="26"/>
      <c r="E117" s="26"/>
      <c r="F117" s="26"/>
      <c r="G117" s="28"/>
      <c r="H117" s="26"/>
      <c r="I117" s="26"/>
      <c r="J117" s="26"/>
      <c r="K117" s="28"/>
      <c r="L117" s="26"/>
      <c r="M117" s="26"/>
      <c r="N117" s="26"/>
      <c r="O117" s="28"/>
      <c r="P117" s="27"/>
      <c r="Q117" s="27"/>
      <c r="R117" s="6">
        <f>R116/1000</f>
        <v>390.01859265756985</v>
      </c>
      <c r="S117" s="27" t="s">
        <v>733</v>
      </c>
      <c r="T117" s="28"/>
      <c r="U117" s="26"/>
      <c r="V117" s="6">
        <f t="shared" si="2"/>
        <v>4.3472579323372624</v>
      </c>
      <c r="W117" s="27" t="s">
        <v>783</v>
      </c>
      <c r="X117" s="28"/>
      <c r="Y117" s="26"/>
      <c r="Z117" s="26"/>
      <c r="AA117" s="26"/>
      <c r="AB117" s="28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9"/>
    </row>
    <row r="118" spans="2:40">
      <c r="B118" s="34"/>
      <c r="C118" s="26"/>
      <c r="D118" s="26"/>
      <c r="E118" s="26"/>
      <c r="F118" s="26"/>
      <c r="G118" s="28"/>
      <c r="H118" s="26"/>
      <c r="I118" s="26"/>
      <c r="J118" s="26"/>
      <c r="K118" s="28"/>
      <c r="L118" s="26"/>
      <c r="M118" s="26"/>
      <c r="N118" s="26"/>
      <c r="O118" s="28"/>
      <c r="P118" s="27"/>
      <c r="Q118" s="6" t="s">
        <v>732</v>
      </c>
      <c r="R118" s="27">
        <f>SUM(R114,R116)</f>
        <v>608605.35292220186</v>
      </c>
      <c r="S118" s="27" t="s">
        <v>110</v>
      </c>
      <c r="T118" s="28"/>
      <c r="U118" s="26"/>
      <c r="V118" s="6">
        <f t="shared" si="2"/>
        <v>6783.6880035021832</v>
      </c>
      <c r="W118" s="27" t="s">
        <v>781</v>
      </c>
      <c r="X118" s="28"/>
      <c r="Y118" s="26"/>
      <c r="Z118" s="26"/>
      <c r="AA118" s="26"/>
      <c r="AB118" s="28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9"/>
    </row>
    <row r="119" spans="2:40">
      <c r="B119" s="34"/>
      <c r="C119" s="26"/>
      <c r="D119" s="26"/>
      <c r="E119" s="26"/>
      <c r="F119" s="26"/>
      <c r="G119" s="28"/>
      <c r="H119" s="26"/>
      <c r="I119" s="26"/>
      <c r="J119" s="26"/>
      <c r="K119" s="28"/>
      <c r="L119" s="26"/>
      <c r="M119" s="26"/>
      <c r="N119" s="26"/>
      <c r="O119" s="28"/>
      <c r="P119" s="27"/>
      <c r="Q119" s="27"/>
      <c r="R119" s="6">
        <f>SUM(R115,R117)</f>
        <v>608.60535292220186</v>
      </c>
      <c r="S119" s="27" t="s">
        <v>733</v>
      </c>
      <c r="T119" s="28"/>
      <c r="U119" s="26"/>
      <c r="V119" s="6">
        <f t="shared" si="2"/>
        <v>6.7836880035021832</v>
      </c>
      <c r="W119" s="27" t="s">
        <v>783</v>
      </c>
      <c r="X119" s="28"/>
      <c r="Y119" s="26"/>
      <c r="Z119" s="26"/>
      <c r="AA119" s="26"/>
      <c r="AB119" s="28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9"/>
    </row>
    <row r="120" spans="2:40" ht="15.75" thickBot="1">
      <c r="B120" s="61"/>
      <c r="C120" s="62"/>
      <c r="D120" s="62"/>
      <c r="E120" s="62"/>
      <c r="F120" s="62"/>
      <c r="G120" s="63"/>
      <c r="H120" s="62"/>
      <c r="I120" s="62"/>
      <c r="J120" s="62"/>
      <c r="K120" s="63"/>
      <c r="L120" s="62"/>
      <c r="M120" s="62"/>
      <c r="N120" s="62"/>
      <c r="O120" s="63"/>
      <c r="P120" s="241" t="s">
        <v>618</v>
      </c>
      <c r="Q120" s="241"/>
      <c r="R120" s="241">
        <f>SUM(S103:S113)</f>
        <v>3836.4962116150245</v>
      </c>
      <c r="S120" s="241" t="s">
        <v>254</v>
      </c>
      <c r="T120" s="63"/>
      <c r="U120" s="62"/>
      <c r="V120" s="366">
        <f t="shared" si="2"/>
        <v>42.762675683434672</v>
      </c>
      <c r="W120" s="241" t="s">
        <v>249</v>
      </c>
      <c r="X120" s="63"/>
      <c r="Y120" s="62"/>
      <c r="Z120" s="62"/>
      <c r="AA120" s="62"/>
      <c r="AB120" s="63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4"/>
    </row>
    <row r="123" spans="2:40" ht="20.25">
      <c r="B123" s="360" t="s">
        <v>779</v>
      </c>
    </row>
    <row r="124" spans="2:40">
      <c r="B124" s="9" t="s">
        <v>775</v>
      </c>
    </row>
    <row r="126" spans="2:40" ht="15.75" thickBot="1">
      <c r="B126" s="4" t="s">
        <v>776</v>
      </c>
    </row>
    <row r="127" spans="2:40">
      <c r="B127" s="68"/>
      <c r="C127" s="21"/>
      <c r="D127" s="19"/>
      <c r="E127" s="19"/>
      <c r="F127" s="19"/>
      <c r="G127" s="21"/>
      <c r="H127" s="19"/>
      <c r="I127" s="19"/>
      <c r="J127" s="19"/>
      <c r="K127" s="21"/>
      <c r="L127" s="19"/>
      <c r="M127" s="19"/>
      <c r="N127" s="19"/>
      <c r="O127" s="19"/>
      <c r="P127" s="21"/>
      <c r="Q127" s="19"/>
      <c r="R127" s="19"/>
      <c r="S127" s="19"/>
      <c r="T127" s="21"/>
      <c r="U127" s="19"/>
      <c r="V127" s="19"/>
      <c r="W127" s="19"/>
      <c r="X127" s="21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22"/>
    </row>
    <row r="128" spans="2:40">
      <c r="B128" s="34"/>
      <c r="C128" s="118" t="s">
        <v>191</v>
      </c>
      <c r="D128" s="26"/>
      <c r="E128" s="26"/>
      <c r="F128" s="26"/>
      <c r="G128" s="26"/>
      <c r="H128" s="26"/>
      <c r="I128" s="26"/>
      <c r="J128" s="26"/>
      <c r="K128" s="28" t="s">
        <v>804</v>
      </c>
      <c r="L128" s="26"/>
      <c r="M128" s="26"/>
      <c r="N128" s="26"/>
      <c r="O128" s="28"/>
      <c r="P128" s="26"/>
      <c r="Q128" s="26"/>
      <c r="R128" s="26"/>
      <c r="S128" s="26"/>
      <c r="T128" s="26"/>
      <c r="U128" s="290" t="s">
        <v>212</v>
      </c>
      <c r="V128" s="291"/>
      <c r="W128" s="420">
        <v>1440</v>
      </c>
      <c r="X128" s="293" t="s">
        <v>575</v>
      </c>
      <c r="Y128" s="26"/>
      <c r="Z128" s="26"/>
      <c r="AA128" s="28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9"/>
    </row>
    <row r="129" spans="2:40">
      <c r="B129" s="34"/>
      <c r="C129" s="115"/>
      <c r="D129" s="114"/>
      <c r="E129" s="114"/>
      <c r="F129" s="140" t="s">
        <v>231</v>
      </c>
      <c r="G129" s="140"/>
      <c r="H129" s="140" t="s">
        <v>232</v>
      </c>
      <c r="I129" s="140"/>
      <c r="J129" s="140"/>
      <c r="K129" s="140" t="s">
        <v>233</v>
      </c>
      <c r="L129" s="140"/>
      <c r="M129" s="140"/>
      <c r="N129" s="140"/>
      <c r="O129" s="140"/>
      <c r="P129" s="140"/>
      <c r="Q129" s="140" t="s">
        <v>213</v>
      </c>
      <c r="R129" s="140" t="s">
        <v>234</v>
      </c>
      <c r="S129" s="116" t="s">
        <v>242</v>
      </c>
      <c r="T129" s="26"/>
      <c r="U129" s="295" t="s">
        <v>656</v>
      </c>
      <c r="V129" s="79"/>
      <c r="W129" s="79"/>
      <c r="X129" s="71"/>
      <c r="Y129" s="26"/>
      <c r="Z129" s="26"/>
      <c r="AA129" s="28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9"/>
    </row>
    <row r="130" spans="2:40" ht="15.75" thickBot="1">
      <c r="B130" s="34"/>
      <c r="C130" s="141"/>
      <c r="D130" s="142"/>
      <c r="E130" s="142" t="s">
        <v>219</v>
      </c>
      <c r="F130" s="142" t="s">
        <v>239</v>
      </c>
      <c r="G130" s="142" t="s">
        <v>240</v>
      </c>
      <c r="H130" s="142" t="s">
        <v>258</v>
      </c>
      <c r="I130" s="142" t="s">
        <v>235</v>
      </c>
      <c r="J130" s="142" t="s">
        <v>161</v>
      </c>
      <c r="K130" s="142" t="s">
        <v>236</v>
      </c>
      <c r="L130" s="142" t="s">
        <v>237</v>
      </c>
      <c r="M130" s="142" t="s">
        <v>197</v>
      </c>
      <c r="N130" s="142" t="s">
        <v>257</v>
      </c>
      <c r="O130" s="142" t="s">
        <v>238</v>
      </c>
      <c r="P130" s="142" t="s">
        <v>115</v>
      </c>
      <c r="Q130" s="142" t="s">
        <v>239</v>
      </c>
      <c r="R130" s="142"/>
      <c r="S130" s="117"/>
      <c r="T130" s="26"/>
      <c r="U130" s="296" t="s">
        <v>241</v>
      </c>
      <c r="V130" s="294" t="s">
        <v>219</v>
      </c>
      <c r="W130" s="294" t="s">
        <v>241</v>
      </c>
      <c r="X130" s="297" t="s">
        <v>219</v>
      </c>
      <c r="Y130" s="26"/>
      <c r="Z130" s="26"/>
      <c r="AA130" s="28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9"/>
    </row>
    <row r="131" spans="2:40" ht="17.25" thickTop="1">
      <c r="B131" s="34"/>
      <c r="C131" s="143" t="s">
        <v>220</v>
      </c>
      <c r="D131" s="2" t="s">
        <v>104</v>
      </c>
      <c r="E131" s="2" t="s">
        <v>781</v>
      </c>
      <c r="F131" s="28">
        <f>-G16/(C7+C10)*C9*1000</f>
        <v>-0.69980513518862453</v>
      </c>
      <c r="G131" s="28">
        <f>-SUM(K18:K19)/(C7+C10)*C9*1000</f>
        <v>-8.6898024961596985</v>
      </c>
      <c r="H131" s="28">
        <f>-(T21+T38)/(O8+O10)*O17*1000</f>
        <v>-467.50609396293055</v>
      </c>
      <c r="I131" s="28">
        <f>-X29/(O8+O10)*O17*1000</f>
        <v>-175.61862889193924</v>
      </c>
      <c r="J131" s="28">
        <f>-(AB18+AB19)/(O8+O10)*O17*1000</f>
        <v>-385.15837342296749</v>
      </c>
      <c r="K131" s="28"/>
      <c r="L131" s="28"/>
      <c r="M131" s="28">
        <f>-Q59/(G31+G33)*G36*1000</f>
        <v>-3.063502256286681E-2</v>
      </c>
      <c r="N131" s="28"/>
      <c r="O131" s="28"/>
      <c r="P131" s="28"/>
      <c r="Q131" s="28"/>
      <c r="R131" s="28">
        <f t="shared" ref="R131:R135" si="3">SUM(F131:Q131)</f>
        <v>-1037.7033389317485</v>
      </c>
      <c r="S131" s="230">
        <f>R131/3.6*W131*(O25/100)</f>
        <v>-21.018296795492592</v>
      </c>
      <c r="T131" s="26"/>
      <c r="U131" s="414">
        <v>105</v>
      </c>
      <c r="V131" s="26" t="s">
        <v>338</v>
      </c>
      <c r="W131" s="418">
        <f>U131/$W$100</f>
        <v>7.2916666666666671E-2</v>
      </c>
      <c r="X131" s="75" t="s">
        <v>246</v>
      </c>
      <c r="Y131" s="26"/>
      <c r="Z131" s="26"/>
      <c r="AA131" s="28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9"/>
    </row>
    <row r="132" spans="2:40">
      <c r="B132" s="34"/>
      <c r="C132" s="143"/>
      <c r="D132" s="2" t="s">
        <v>194</v>
      </c>
      <c r="E132" s="2" t="s">
        <v>781</v>
      </c>
      <c r="F132" s="28"/>
      <c r="G132" s="28"/>
      <c r="H132" s="28">
        <f>-T18/(O8+O10)*O17*1000</f>
        <v>-461.20990889953032</v>
      </c>
      <c r="I132" s="28">
        <f>-X28/(O8+O10)*O17*1000</f>
        <v>-351.23725778387848</v>
      </c>
      <c r="J132" s="28"/>
      <c r="K132" s="28">
        <f>-M60/(G31+G33)*G36*1000</f>
        <v>-0.25744086098654245</v>
      </c>
      <c r="L132" s="28">
        <f>-I62/(G31+G33)*G36*1000</f>
        <v>-6.4234479197107772E-2</v>
      </c>
      <c r="M132" s="28"/>
      <c r="N132" s="28"/>
      <c r="O132" s="28"/>
      <c r="P132" s="28"/>
      <c r="Q132" s="28"/>
      <c r="R132" s="28">
        <f>SUM(F131:Q131)</f>
        <v>-1037.7033389317485</v>
      </c>
      <c r="S132" s="230" t="s">
        <v>805</v>
      </c>
      <c r="T132" s="26"/>
      <c r="U132" s="414"/>
      <c r="V132" s="26"/>
      <c r="W132" s="418">
        <f>U132/$W$100</f>
        <v>0</v>
      </c>
      <c r="X132" s="75"/>
      <c r="Y132" s="26"/>
      <c r="Z132" s="26"/>
      <c r="AA132" s="28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9"/>
    </row>
    <row r="133" spans="2:40">
      <c r="B133" s="34"/>
      <c r="C133" s="143" t="s">
        <v>221</v>
      </c>
      <c r="D133" s="2" t="s">
        <v>25</v>
      </c>
      <c r="E133" s="2" t="s">
        <v>798</v>
      </c>
      <c r="F133" s="28">
        <f>G10/1000/(C7+C10)*C9*1000</f>
        <v>5.6121039436722024E-2</v>
      </c>
      <c r="G133" s="28">
        <f>K13/1000/(C7+C10)*C9*1000</f>
        <v>5.7198983721308931E-2</v>
      </c>
      <c r="H133" s="28">
        <f>-T9/1000/(O8+O10)*O17*1000</f>
        <v>-0.10977442037230078</v>
      </c>
      <c r="I133" s="28"/>
      <c r="J133" s="28"/>
      <c r="K133" s="28"/>
      <c r="L133" s="6"/>
      <c r="M133" s="28"/>
      <c r="N133" s="28"/>
      <c r="O133" s="28"/>
      <c r="P133" s="28"/>
      <c r="Q133" s="28"/>
      <c r="R133" s="28">
        <f t="shared" si="3"/>
        <v>3.5456027857301703E-3</v>
      </c>
      <c r="S133" s="230">
        <f t="shared" ref="S133:S137" si="4">-R133*W133</f>
        <v>-1.770339168708328E-3</v>
      </c>
      <c r="T133" s="26"/>
      <c r="U133" s="414">
        <v>719</v>
      </c>
      <c r="V133" s="26" t="s">
        <v>243</v>
      </c>
      <c r="W133" s="418">
        <f>U133/$W$100</f>
        <v>0.49930555555555556</v>
      </c>
      <c r="X133" s="75" t="s">
        <v>247</v>
      </c>
      <c r="Y133" s="26"/>
      <c r="Z133" s="26"/>
      <c r="AA133" s="28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9"/>
    </row>
    <row r="134" spans="2:40" ht="16.5">
      <c r="B134" s="34"/>
      <c r="C134" s="143"/>
      <c r="D134" s="2" t="s">
        <v>222</v>
      </c>
      <c r="E134" s="2" t="s">
        <v>800</v>
      </c>
      <c r="F134" s="28">
        <f>K14/(C7+C10)*C9*1000</f>
        <v>0.14299745930327232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>
        <f t="shared" si="3"/>
        <v>0.14299745930327232</v>
      </c>
      <c r="S134" s="230">
        <f t="shared" si="4"/>
        <v>-5.8258224160592426E-2</v>
      </c>
      <c r="T134" s="26"/>
      <c r="U134" s="414">
        <f>11000/18.75</f>
        <v>586.66666666666663</v>
      </c>
      <c r="V134" s="113" t="s">
        <v>574</v>
      </c>
      <c r="W134" s="418">
        <f>U134/$W$100</f>
        <v>0.40740740740740738</v>
      </c>
      <c r="X134" s="75" t="s">
        <v>580</v>
      </c>
      <c r="Y134" s="26"/>
      <c r="Z134" s="26"/>
      <c r="AA134" s="28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9"/>
    </row>
    <row r="135" spans="2:40" ht="16.5">
      <c r="B135" s="34"/>
      <c r="C135" s="143"/>
      <c r="D135" s="2" t="s">
        <v>224</v>
      </c>
      <c r="E135" s="2" t="s">
        <v>799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>
        <f t="shared" si="3"/>
        <v>0</v>
      </c>
      <c r="S135" s="230">
        <f t="shared" si="4"/>
        <v>0</v>
      </c>
      <c r="T135" s="26"/>
      <c r="U135" s="414">
        <v>2639</v>
      </c>
      <c r="V135" s="113" t="s">
        <v>573</v>
      </c>
      <c r="W135" s="418">
        <f>U135/$W$100</f>
        <v>1.8326388888888889</v>
      </c>
      <c r="X135" s="75" t="s">
        <v>248</v>
      </c>
      <c r="Y135" s="26"/>
      <c r="Z135" s="26"/>
      <c r="AA135" s="28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9"/>
    </row>
    <row r="136" spans="2:40">
      <c r="B136" s="34"/>
      <c r="C136" s="74"/>
      <c r="D136" s="2" t="s">
        <v>614</v>
      </c>
      <c r="E136" s="26" t="s">
        <v>801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>
        <f>U106</f>
        <v>586.66666666666663</v>
      </c>
      <c r="S136" s="230">
        <f t="shared" si="4"/>
        <v>-821.33333333333326</v>
      </c>
      <c r="T136" s="26"/>
      <c r="U136" s="415"/>
      <c r="V136" s="26"/>
      <c r="W136" s="404">
        <v>1.4</v>
      </c>
      <c r="X136" s="75" t="s">
        <v>248</v>
      </c>
      <c r="Y136" s="26"/>
      <c r="Z136" s="26"/>
      <c r="AA136" s="28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9"/>
    </row>
    <row r="137" spans="2:40" ht="16.5">
      <c r="B137" s="34"/>
      <c r="C137" s="74"/>
      <c r="D137" s="2" t="s">
        <v>615</v>
      </c>
      <c r="E137" s="7" t="s">
        <v>801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>
        <f>U107</f>
        <v>2639</v>
      </c>
      <c r="S137" s="230">
        <f t="shared" si="4"/>
        <v>-633.36</v>
      </c>
      <c r="T137" s="26"/>
      <c r="U137" s="415"/>
      <c r="V137" s="26"/>
      <c r="W137" s="418">
        <f>(0.18+0.3)/2</f>
        <v>0.24</v>
      </c>
      <c r="X137" s="75" t="s">
        <v>248</v>
      </c>
      <c r="Y137" s="26"/>
      <c r="Z137" s="26"/>
      <c r="AA137" s="28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9"/>
    </row>
    <row r="138" spans="2:40">
      <c r="B138" s="34"/>
      <c r="C138" s="143" t="s">
        <v>225</v>
      </c>
      <c r="D138" s="2" t="s">
        <v>226</v>
      </c>
      <c r="E138" s="2" t="s">
        <v>802</v>
      </c>
      <c r="F138" s="28"/>
      <c r="G138" s="28"/>
      <c r="H138" s="28"/>
      <c r="I138" s="28">
        <f>AF9/(O8+O10)*O17*1000</f>
        <v>4.9897463805591305E-2</v>
      </c>
      <c r="J138" s="28"/>
      <c r="K138" s="28"/>
      <c r="L138" s="28"/>
      <c r="M138" s="28"/>
      <c r="N138" s="28"/>
      <c r="O138" s="28"/>
      <c r="P138" s="28"/>
      <c r="Q138" s="28"/>
      <c r="R138" s="28">
        <f>SUM(F138:Q138)</f>
        <v>4.9897463805591305E-2</v>
      </c>
      <c r="S138" s="230">
        <f>-R138*W138</f>
        <v>-3.8116118184826688</v>
      </c>
      <c r="T138" s="26"/>
      <c r="U138" s="414">
        <v>110000</v>
      </c>
      <c r="V138" s="26" t="s">
        <v>245</v>
      </c>
      <c r="W138" s="418">
        <f>U138/$W$100</f>
        <v>76.388888888888886</v>
      </c>
      <c r="X138" s="75" t="s">
        <v>249</v>
      </c>
      <c r="Y138" s="26"/>
      <c r="Z138" s="26"/>
      <c r="AA138" s="28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9"/>
    </row>
    <row r="139" spans="2:40">
      <c r="B139" s="34"/>
      <c r="C139" s="143"/>
      <c r="D139" s="2" t="s">
        <v>227</v>
      </c>
      <c r="E139" s="2" t="s">
        <v>802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>
        <f>SUM(F139:Q139)</f>
        <v>0</v>
      </c>
      <c r="S139" s="230">
        <f>-R139*W139</f>
        <v>0</v>
      </c>
      <c r="T139" s="26"/>
      <c r="U139" s="414">
        <v>110000</v>
      </c>
      <c r="V139" s="26" t="s">
        <v>245</v>
      </c>
      <c r="W139" s="418">
        <f>U139/$W$100</f>
        <v>76.388888888888886</v>
      </c>
      <c r="X139" s="75" t="s">
        <v>249</v>
      </c>
      <c r="Y139" s="26"/>
      <c r="Z139" s="26"/>
      <c r="AA139" s="28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9"/>
    </row>
    <row r="140" spans="2:40">
      <c r="B140" s="34"/>
      <c r="C140" s="143"/>
      <c r="D140" s="2" t="s">
        <v>228</v>
      </c>
      <c r="E140" s="2" t="s">
        <v>798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>
        <f>SUM(F140:Q140)</f>
        <v>0</v>
      </c>
      <c r="S140" s="230">
        <f>-R140*W140</f>
        <v>0</v>
      </c>
      <c r="T140" s="26"/>
      <c r="U140" s="414">
        <v>278</v>
      </c>
      <c r="V140" s="26" t="s">
        <v>243</v>
      </c>
      <c r="W140" s="418">
        <f>U140/$W$100</f>
        <v>0.19305555555555556</v>
      </c>
      <c r="X140" s="75" t="s">
        <v>247</v>
      </c>
      <c r="Y140" s="26"/>
      <c r="Z140" s="26"/>
      <c r="AA140" s="28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9"/>
    </row>
    <row r="141" spans="2:40" ht="16.5">
      <c r="B141" s="34"/>
      <c r="C141" s="144" t="s">
        <v>229</v>
      </c>
      <c r="D141" s="145" t="s">
        <v>230</v>
      </c>
      <c r="E141" s="145" t="s">
        <v>802</v>
      </c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>
        <f>SUM(F141:Q141)</f>
        <v>0</v>
      </c>
      <c r="S141" s="231">
        <f>R141*W141</f>
        <v>0</v>
      </c>
      <c r="T141" s="26"/>
      <c r="U141" s="416">
        <v>373600</v>
      </c>
      <c r="V141" s="81" t="s">
        <v>339</v>
      </c>
      <c r="W141" s="419">
        <f>U141/$W$100</f>
        <v>259.44444444444446</v>
      </c>
      <c r="X141" s="78" t="s">
        <v>253</v>
      </c>
      <c r="Y141" s="26"/>
      <c r="Z141" s="26"/>
      <c r="AA141" s="28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9"/>
    </row>
    <row r="142" spans="2:40">
      <c r="B142" s="34"/>
      <c r="C142" s="26"/>
      <c r="D142" s="26"/>
      <c r="E142" s="26"/>
      <c r="F142" s="26"/>
      <c r="G142" s="28"/>
      <c r="H142" s="26"/>
      <c r="I142" s="26"/>
      <c r="J142" s="28"/>
      <c r="K142" s="26"/>
      <c r="L142" s="26"/>
      <c r="M142" s="26"/>
      <c r="N142" s="28"/>
      <c r="O142" s="26"/>
      <c r="P142" s="27" t="s">
        <v>616</v>
      </c>
      <c r="Q142" s="27" t="s">
        <v>104</v>
      </c>
      <c r="R142" s="27">
        <f>R131</f>
        <v>-1037.7033389317485</v>
      </c>
      <c r="S142" s="27" t="s">
        <v>781</v>
      </c>
      <c r="U142" s="26" t="s">
        <v>790</v>
      </c>
      <c r="V142" s="26" t="s">
        <v>791</v>
      </c>
      <c r="W142" s="28">
        <v>-1038.7286906946899</v>
      </c>
      <c r="X142" s="26" t="s">
        <v>781</v>
      </c>
      <c r="Y142" s="26" t="s">
        <v>796</v>
      </c>
      <c r="Z142" s="26"/>
      <c r="AA142" s="28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9"/>
    </row>
    <row r="143" spans="2:40">
      <c r="B143" s="34"/>
      <c r="C143" s="26"/>
      <c r="D143" s="26"/>
      <c r="E143" s="26"/>
      <c r="F143" s="26"/>
      <c r="G143" s="28"/>
      <c r="H143" s="26"/>
      <c r="I143" s="26"/>
      <c r="J143" s="26"/>
      <c r="L143" s="26"/>
      <c r="M143" s="26"/>
      <c r="N143" s="26"/>
      <c r="O143" s="28"/>
      <c r="P143" s="27"/>
      <c r="Q143" s="27"/>
      <c r="R143" s="6">
        <f>R142/1000</f>
        <v>-1.0377033389317485</v>
      </c>
      <c r="S143" s="27" t="s">
        <v>783</v>
      </c>
      <c r="T143" s="28"/>
      <c r="U143" s="26"/>
      <c r="V143" s="26"/>
      <c r="W143" s="26">
        <v>-1.0387286906946944</v>
      </c>
      <c r="X143" s="28" t="s">
        <v>783</v>
      </c>
      <c r="Y143" s="26" t="s">
        <v>795</v>
      </c>
      <c r="Z143" s="26"/>
      <c r="AA143" s="26"/>
      <c r="AB143" s="28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9"/>
    </row>
    <row r="144" spans="2:40">
      <c r="B144" s="34"/>
      <c r="C144" s="26"/>
      <c r="D144" s="26"/>
      <c r="E144" s="26"/>
      <c r="F144" s="26"/>
      <c r="G144" s="28"/>
      <c r="H144" s="26"/>
      <c r="I144" s="26"/>
      <c r="J144" s="26"/>
      <c r="K144" s="28"/>
      <c r="L144" s="26"/>
      <c r="M144" s="26"/>
      <c r="N144" s="26"/>
      <c r="O144" s="28"/>
      <c r="P144" s="27"/>
      <c r="Q144" s="27" t="s">
        <v>194</v>
      </c>
      <c r="R144" s="27">
        <f>R132</f>
        <v>-1037.7033389317485</v>
      </c>
      <c r="S144" s="27" t="s">
        <v>781</v>
      </c>
      <c r="T144" s="28"/>
      <c r="U144" s="26"/>
      <c r="V144" s="26" t="s">
        <v>792</v>
      </c>
      <c r="W144" s="26">
        <v>0</v>
      </c>
      <c r="X144" s="28" t="s">
        <v>781</v>
      </c>
      <c r="Y144" s="26"/>
      <c r="Z144" s="26"/>
      <c r="AA144" s="26"/>
      <c r="AB144" s="28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9"/>
    </row>
    <row r="145" spans="2:40">
      <c r="B145" s="34"/>
      <c r="C145" s="26"/>
      <c r="D145" s="26"/>
      <c r="E145" s="26"/>
      <c r="F145" s="26"/>
      <c r="G145" s="28"/>
      <c r="H145" s="26"/>
      <c r="I145" s="26"/>
      <c r="J145" s="26"/>
      <c r="K145" s="28"/>
      <c r="L145" s="26"/>
      <c r="M145" s="26"/>
      <c r="N145" s="26"/>
      <c r="O145" s="28"/>
      <c r="P145" s="27"/>
      <c r="Q145" s="27"/>
      <c r="R145" s="6">
        <f>R144/1000</f>
        <v>-1.0377033389317485</v>
      </c>
      <c r="S145" s="27" t="s">
        <v>783</v>
      </c>
      <c r="T145" s="28"/>
      <c r="U145" s="26"/>
      <c r="V145" s="26"/>
      <c r="W145" s="26">
        <v>0</v>
      </c>
      <c r="X145" s="28" t="s">
        <v>783</v>
      </c>
      <c r="Y145" s="26"/>
      <c r="Z145" s="26"/>
      <c r="AA145" s="26"/>
      <c r="AB145" s="28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9"/>
    </row>
    <row r="146" spans="2:40">
      <c r="B146" s="34"/>
      <c r="C146" s="26"/>
      <c r="D146" s="26"/>
      <c r="E146" s="26"/>
      <c r="F146" s="26"/>
      <c r="G146" s="28"/>
      <c r="H146" s="26"/>
      <c r="I146" s="26"/>
      <c r="J146" s="26"/>
      <c r="K146" s="28"/>
      <c r="L146" s="26"/>
      <c r="M146" s="26"/>
      <c r="N146" s="26"/>
      <c r="O146" s="28"/>
      <c r="P146" s="27"/>
      <c r="Q146" s="6" t="s">
        <v>732</v>
      </c>
      <c r="R146" s="27">
        <f>SUM(R142,R144)</f>
        <v>-2075.406677863497</v>
      </c>
      <c r="S146" s="27" t="s">
        <v>781</v>
      </c>
      <c r="T146" s="28"/>
      <c r="U146" s="26"/>
      <c r="V146" s="26" t="s">
        <v>793</v>
      </c>
      <c r="W146" s="26">
        <v>-1038.7286906946945</v>
      </c>
      <c r="X146" s="28" t="s">
        <v>781</v>
      </c>
      <c r="Y146" s="26"/>
      <c r="Z146" s="26"/>
      <c r="AA146" s="26"/>
      <c r="AB146" s="28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9"/>
    </row>
    <row r="147" spans="2:40">
      <c r="B147" s="34"/>
      <c r="C147" s="26"/>
      <c r="D147" s="26"/>
      <c r="E147" s="26"/>
      <c r="F147" s="26"/>
      <c r="G147" s="28"/>
      <c r="H147" s="26"/>
      <c r="I147" s="26"/>
      <c r="J147" s="26"/>
      <c r="K147" s="28"/>
      <c r="L147" s="26"/>
      <c r="M147" s="26"/>
      <c r="N147" s="26"/>
      <c r="O147" s="28"/>
      <c r="P147" s="27"/>
      <c r="Q147" s="27"/>
      <c r="R147" s="6">
        <f>SUM(R143,R145)</f>
        <v>-2.075406677863497</v>
      </c>
      <c r="S147" s="27" t="s">
        <v>783</v>
      </c>
      <c r="T147" s="28"/>
      <c r="U147" s="26"/>
      <c r="V147" s="26"/>
      <c r="W147" s="26">
        <v>-1.0387286906946944</v>
      </c>
      <c r="X147" s="28" t="s">
        <v>783</v>
      </c>
      <c r="Y147" s="26"/>
      <c r="Z147" s="26"/>
      <c r="AA147" s="26"/>
      <c r="AB147" s="28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9"/>
    </row>
    <row r="148" spans="2:40" ht="15.75" thickBot="1">
      <c r="B148" s="61"/>
      <c r="C148" s="62"/>
      <c r="D148" s="62"/>
      <c r="E148" s="62"/>
      <c r="F148" s="62"/>
      <c r="G148" s="63"/>
      <c r="H148" s="62"/>
      <c r="I148" s="62"/>
      <c r="J148" s="62"/>
      <c r="K148" s="63"/>
      <c r="L148" s="62"/>
      <c r="M148" s="62"/>
      <c r="N148" s="62"/>
      <c r="O148" s="63"/>
      <c r="P148" s="241" t="s">
        <v>618</v>
      </c>
      <c r="Q148" s="241"/>
      <c r="R148" s="241">
        <f>SUM(S131:S141)</f>
        <v>-1479.5832705106377</v>
      </c>
      <c r="S148" s="241" t="s">
        <v>789</v>
      </c>
      <c r="T148" s="63"/>
      <c r="U148" s="62" t="s">
        <v>794</v>
      </c>
      <c r="V148" s="62"/>
      <c r="W148" s="62">
        <v>-1479.607896646258</v>
      </c>
      <c r="X148" s="63" t="s">
        <v>788</v>
      </c>
      <c r="Y148" s="62"/>
      <c r="Z148" s="62"/>
      <c r="AA148" s="62"/>
      <c r="AB148" s="63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4"/>
    </row>
    <row r="151" spans="2:40" ht="15.75" thickBot="1">
      <c r="B151" s="4" t="s">
        <v>777</v>
      </c>
    </row>
    <row r="152" spans="2:40">
      <c r="B152" s="68"/>
      <c r="C152" s="21"/>
      <c r="D152" s="19"/>
      <c r="E152" s="19"/>
      <c r="F152" s="19"/>
      <c r="G152" s="21"/>
      <c r="H152" s="19"/>
      <c r="I152" s="19"/>
      <c r="J152" s="19"/>
      <c r="K152" s="21"/>
      <c r="L152" s="19"/>
      <c r="M152" s="19"/>
      <c r="N152" s="19"/>
      <c r="O152" s="19"/>
      <c r="P152" s="21"/>
      <c r="Q152" s="19"/>
      <c r="R152" s="19"/>
      <c r="S152" s="19"/>
      <c r="T152" s="21"/>
      <c r="U152" s="19"/>
      <c r="V152" s="19"/>
      <c r="W152" s="19"/>
      <c r="X152" s="21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22"/>
    </row>
    <row r="153" spans="2:40">
      <c r="B153" s="34"/>
      <c r="C153" s="118" t="s">
        <v>191</v>
      </c>
      <c r="D153" s="26"/>
      <c r="E153" s="26"/>
      <c r="F153" s="26"/>
      <c r="G153" s="26"/>
      <c r="H153" s="26"/>
      <c r="I153" s="26"/>
      <c r="J153" s="26"/>
      <c r="K153" s="28"/>
      <c r="L153" s="26"/>
      <c r="M153" s="26"/>
      <c r="N153" s="26"/>
      <c r="O153" s="28"/>
      <c r="P153" s="26"/>
      <c r="Q153" s="26"/>
      <c r="R153" s="26"/>
      <c r="S153" s="26"/>
      <c r="T153" s="26"/>
      <c r="U153" s="290" t="s">
        <v>212</v>
      </c>
      <c r="V153" s="291"/>
      <c r="W153" s="420">
        <v>1440</v>
      </c>
      <c r="X153" s="293" t="s">
        <v>575</v>
      </c>
      <c r="Y153" s="26"/>
      <c r="Z153" s="26"/>
      <c r="AA153" s="28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9"/>
    </row>
    <row r="154" spans="2:40">
      <c r="B154" s="34"/>
      <c r="C154" s="115"/>
      <c r="D154" s="114"/>
      <c r="E154" s="114"/>
      <c r="F154" s="140" t="s">
        <v>231</v>
      </c>
      <c r="G154" s="140"/>
      <c r="H154" s="140" t="s">
        <v>232</v>
      </c>
      <c r="I154" s="140"/>
      <c r="J154" s="140"/>
      <c r="K154" s="140" t="s">
        <v>233</v>
      </c>
      <c r="L154" s="140"/>
      <c r="M154" s="140"/>
      <c r="N154" s="140"/>
      <c r="O154" s="140"/>
      <c r="P154" s="140"/>
      <c r="Q154" s="140" t="s">
        <v>213</v>
      </c>
      <c r="R154" s="140" t="s">
        <v>234</v>
      </c>
      <c r="S154" s="116" t="s">
        <v>242</v>
      </c>
      <c r="T154" s="26"/>
      <c r="U154" s="295" t="s">
        <v>656</v>
      </c>
      <c r="V154" s="79"/>
      <c r="W154" s="79"/>
      <c r="X154" s="71"/>
      <c r="Y154" s="26"/>
      <c r="Z154" s="26"/>
      <c r="AA154" s="28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9"/>
    </row>
    <row r="155" spans="2:40" ht="15.75" thickBot="1">
      <c r="B155" s="34"/>
      <c r="C155" s="141"/>
      <c r="D155" s="142"/>
      <c r="E155" s="142" t="s">
        <v>219</v>
      </c>
      <c r="F155" s="142" t="s">
        <v>239</v>
      </c>
      <c r="G155" s="142" t="s">
        <v>240</v>
      </c>
      <c r="H155" s="142" t="s">
        <v>258</v>
      </c>
      <c r="I155" s="142" t="s">
        <v>235</v>
      </c>
      <c r="J155" s="142" t="s">
        <v>161</v>
      </c>
      <c r="K155" s="142" t="s">
        <v>236</v>
      </c>
      <c r="L155" s="142" t="s">
        <v>237</v>
      </c>
      <c r="M155" s="142" t="s">
        <v>197</v>
      </c>
      <c r="N155" s="142" t="s">
        <v>257</v>
      </c>
      <c r="O155" s="142" t="s">
        <v>238</v>
      </c>
      <c r="P155" s="142" t="s">
        <v>115</v>
      </c>
      <c r="Q155" s="142" t="s">
        <v>239</v>
      </c>
      <c r="R155" s="142"/>
      <c r="S155" s="117"/>
      <c r="T155" s="26"/>
      <c r="U155" s="296" t="s">
        <v>241</v>
      </c>
      <c r="V155" s="294" t="s">
        <v>219</v>
      </c>
      <c r="W155" s="294" t="s">
        <v>241</v>
      </c>
      <c r="X155" s="297" t="s">
        <v>219</v>
      </c>
      <c r="Y155" s="26"/>
      <c r="Z155" s="26"/>
      <c r="AA155" s="28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9"/>
    </row>
    <row r="156" spans="2:40" ht="17.25" thickTop="1">
      <c r="B156" s="34"/>
      <c r="C156" s="143" t="s">
        <v>220</v>
      </c>
      <c r="D156" s="2" t="s">
        <v>104</v>
      </c>
      <c r="E156" s="2" t="s">
        <v>781</v>
      </c>
      <c r="F156" s="28">
        <f>-G16/(C7+C10)*C12*1000</f>
        <v>-2.1090583897121737</v>
      </c>
      <c r="G156" s="28">
        <f>-SUM(K18:K19)/(C7+C10)*C12*1000</f>
        <v>-26.189148861457671</v>
      </c>
      <c r="H156" s="28">
        <f>-(T21+T38)/(O8+O10)*O16*1000</f>
        <v>-0.48010150041052552</v>
      </c>
      <c r="I156" s="28"/>
      <c r="J156" s="28"/>
      <c r="K156" s="28"/>
      <c r="L156" s="28"/>
      <c r="M156" s="28">
        <f>-Q59/(G31+G33)*G37*1000</f>
        <v>-1.0838155200753476</v>
      </c>
      <c r="N156" s="28"/>
      <c r="O156" s="28">
        <f>-M83/(G31+G33)*G37*1000</f>
        <v>-10.580785279252185</v>
      </c>
      <c r="P156" s="28">
        <f>Q76/(G31+G33)*G37*1000</f>
        <v>3725.4714098968066</v>
      </c>
      <c r="Q156" s="28">
        <f>-U82/(G31+G33)*G37*1000</f>
        <v>-8.5854940558148183</v>
      </c>
      <c r="R156" s="28">
        <f>SUM(F156:Q156)</f>
        <v>3676.4430062900838</v>
      </c>
      <c r="S156" s="230">
        <f>R156/3.6*W156*(O25/100)</f>
        <v>74.464991446847762</v>
      </c>
      <c r="T156" s="26"/>
      <c r="U156" s="414">
        <v>105</v>
      </c>
      <c r="V156" s="26" t="s">
        <v>338</v>
      </c>
      <c r="W156" s="418">
        <f>U156/$W$100</f>
        <v>7.2916666666666671E-2</v>
      </c>
      <c r="X156" s="75" t="s">
        <v>246</v>
      </c>
      <c r="Y156" s="26"/>
      <c r="Z156" s="26"/>
      <c r="AA156" s="28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9"/>
    </row>
    <row r="157" spans="2:40">
      <c r="B157" s="34"/>
      <c r="C157" s="143"/>
      <c r="D157" s="2" t="s">
        <v>194</v>
      </c>
      <c r="E157" s="2" t="s">
        <v>781</v>
      </c>
      <c r="F157" s="28"/>
      <c r="G157" s="28"/>
      <c r="H157" s="28">
        <f>-T18/(O8+O10)*O16*1000</f>
        <v>-0.47363568545145796</v>
      </c>
      <c r="I157" s="28"/>
      <c r="J157" s="28"/>
      <c r="K157" s="28">
        <f>-M60/(G31+G33)*G37*1000</f>
        <v>-9.1078242252374704</v>
      </c>
      <c r="L157" s="28">
        <f>-I62/(G31+G33)*G37*1000</f>
        <v>-2.272507726570697</v>
      </c>
      <c r="M157" s="28"/>
      <c r="N157" s="28"/>
      <c r="O157" s="28"/>
      <c r="P157" s="28">
        <f>Q78/(G31+G33)*G37*1000</f>
        <v>6209.1190164946775</v>
      </c>
      <c r="Q157" s="28"/>
      <c r="R157" s="28">
        <f>SUM(F157:Q157)</f>
        <v>6197.2650488574182</v>
      </c>
      <c r="S157" s="230" t="s">
        <v>805</v>
      </c>
      <c r="T157" s="26"/>
      <c r="U157" s="414"/>
      <c r="V157" s="26"/>
      <c r="W157" s="418">
        <f>U157/$W$100</f>
        <v>0</v>
      </c>
      <c r="X157" s="75"/>
      <c r="Y157" s="26"/>
      <c r="Z157" s="26"/>
      <c r="AA157" s="28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9"/>
    </row>
    <row r="158" spans="2:40">
      <c r="B158" s="34"/>
      <c r="C158" s="143" t="s">
        <v>221</v>
      </c>
      <c r="D158" s="2" t="s">
        <v>25</v>
      </c>
      <c r="E158" s="2" t="s">
        <v>798</v>
      </c>
      <c r="F158" s="28">
        <f>G10/1000/(C7+C10)*C12*1000</f>
        <v>0.16913643971972719</v>
      </c>
      <c r="G158" s="28">
        <f>K13/1000/(C7+C10)*C12*1000</f>
        <v>0.17238512613646451</v>
      </c>
      <c r="H158" s="28">
        <f>-T9/1000/(O8+O10)*O16*1000</f>
        <v>-1.1273192929035119E-4</v>
      </c>
      <c r="I158" s="28"/>
      <c r="J158" s="28"/>
      <c r="K158" s="28"/>
      <c r="L158" s="6"/>
      <c r="M158" s="28"/>
      <c r="N158" s="28">
        <f>-H73/(G31+G33)*G37*1000</f>
        <v>-1.6798009079879758E-2</v>
      </c>
      <c r="O158" s="28"/>
      <c r="P158" s="28"/>
      <c r="Q158" s="28"/>
      <c r="R158" s="28">
        <f t="shared" ref="R158:R160" si="5">SUM(F158:Q158)</f>
        <v>0.32461082484702158</v>
      </c>
      <c r="S158" s="230">
        <f t="shared" ref="S158:S162" si="6">-R158*W158</f>
        <v>-0.16207998823958925</v>
      </c>
      <c r="T158" s="26"/>
      <c r="U158" s="414">
        <v>719</v>
      </c>
      <c r="V158" s="26" t="s">
        <v>243</v>
      </c>
      <c r="W158" s="418">
        <f>U158/$W$100</f>
        <v>0.49930555555555556</v>
      </c>
      <c r="X158" s="75" t="s">
        <v>247</v>
      </c>
      <c r="Y158" s="26"/>
      <c r="Z158" s="26"/>
      <c r="AA158" s="28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9"/>
    </row>
    <row r="159" spans="2:40" ht="16.5">
      <c r="B159" s="34"/>
      <c r="C159" s="143"/>
      <c r="D159" s="2" t="s">
        <v>222</v>
      </c>
      <c r="E159" s="2" t="s">
        <v>800</v>
      </c>
      <c r="F159" s="28">
        <f>K14/(C7+C10)*C12*1000</f>
        <v>0.43096281534116126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>
        <f t="shared" si="5"/>
        <v>0.43096281534116126</v>
      </c>
      <c r="S159" s="230">
        <f t="shared" si="6"/>
        <v>-0.17557744328713976</v>
      </c>
      <c r="T159" s="26"/>
      <c r="U159" s="414">
        <f>11000/18.75</f>
        <v>586.66666666666663</v>
      </c>
      <c r="V159" s="113" t="s">
        <v>574</v>
      </c>
      <c r="W159" s="418">
        <f>U159/$W$100</f>
        <v>0.40740740740740738</v>
      </c>
      <c r="X159" s="75" t="s">
        <v>580</v>
      </c>
      <c r="Y159" s="26"/>
      <c r="Z159" s="26"/>
      <c r="AA159" s="28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9"/>
    </row>
    <row r="160" spans="2:40" ht="16.5">
      <c r="B160" s="34"/>
      <c r="C160" s="143"/>
      <c r="D160" s="2" t="s">
        <v>224</v>
      </c>
      <c r="E160" s="2" t="s">
        <v>799</v>
      </c>
      <c r="F160" s="28"/>
      <c r="G160" s="28"/>
      <c r="H160" s="28"/>
      <c r="I160" s="28"/>
      <c r="J160" s="28"/>
      <c r="K160" s="28"/>
      <c r="L160" s="28"/>
      <c r="M160" s="28"/>
      <c r="N160" s="28"/>
      <c r="O160" s="28">
        <f>M74/(G31+G33)*G37*1000</f>
        <v>1.3688564990692047</v>
      </c>
      <c r="P160" s="28"/>
      <c r="Q160" s="28"/>
      <c r="R160" s="28">
        <f t="shared" si="5"/>
        <v>1.3688564990692047</v>
      </c>
      <c r="S160" s="230">
        <f t="shared" si="6"/>
        <v>-2.5086196535025218</v>
      </c>
      <c r="T160" s="26"/>
      <c r="U160" s="414">
        <v>2639</v>
      </c>
      <c r="V160" s="113" t="s">
        <v>573</v>
      </c>
      <c r="W160" s="418">
        <f>U160/$W$100</f>
        <v>1.8326388888888889</v>
      </c>
      <c r="X160" s="75" t="s">
        <v>248</v>
      </c>
      <c r="Y160" s="26"/>
      <c r="Z160" s="26"/>
      <c r="AA160" s="28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9"/>
    </row>
    <row r="161" spans="2:40">
      <c r="B161" s="34"/>
      <c r="C161" s="74"/>
      <c r="D161" s="2" t="s">
        <v>614</v>
      </c>
      <c r="E161" s="26" t="s">
        <v>801</v>
      </c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>
        <f>U131</f>
        <v>105</v>
      </c>
      <c r="S161" s="230">
        <f t="shared" si="6"/>
        <v>-147</v>
      </c>
      <c r="T161" s="26"/>
      <c r="U161" s="415"/>
      <c r="V161" s="26"/>
      <c r="W161" s="404">
        <v>1.4</v>
      </c>
      <c r="X161" s="75" t="s">
        <v>248</v>
      </c>
      <c r="Y161" s="26"/>
      <c r="Z161" s="26"/>
      <c r="AA161" s="28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9"/>
    </row>
    <row r="162" spans="2:40" ht="16.5">
      <c r="B162" s="34"/>
      <c r="C162" s="74"/>
      <c r="D162" s="2" t="s">
        <v>615</v>
      </c>
      <c r="E162" s="7" t="s">
        <v>801</v>
      </c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>
        <f>U132</f>
        <v>0</v>
      </c>
      <c r="S162" s="230">
        <f t="shared" si="6"/>
        <v>0</v>
      </c>
      <c r="T162" s="26"/>
      <c r="U162" s="415"/>
      <c r="V162" s="26"/>
      <c r="W162" s="418">
        <f>(0.18+0.3)/2</f>
        <v>0.24</v>
      </c>
      <c r="X162" s="75" t="s">
        <v>248</v>
      </c>
      <c r="Y162" s="26"/>
      <c r="Z162" s="26"/>
      <c r="AA162" s="28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9"/>
    </row>
    <row r="163" spans="2:40">
      <c r="B163" s="34"/>
      <c r="C163" s="143" t="s">
        <v>225</v>
      </c>
      <c r="D163" s="2" t="s">
        <v>226</v>
      </c>
      <c r="E163" s="2" t="s">
        <v>802</v>
      </c>
      <c r="F163" s="28"/>
      <c r="G163" s="28"/>
      <c r="H163" s="28"/>
      <c r="I163" s="28"/>
      <c r="J163" s="28"/>
      <c r="K163" s="28">
        <f>U90/(G31+G33)*G37*1000</f>
        <v>2.6733262955758688E-2</v>
      </c>
      <c r="L163" s="28"/>
      <c r="M163" s="28"/>
      <c r="N163" s="28"/>
      <c r="O163" s="28"/>
      <c r="P163" s="28"/>
      <c r="Q163" s="28"/>
      <c r="R163" s="28">
        <f>SUM(F163:Q163)</f>
        <v>2.6733262955758688E-2</v>
      </c>
      <c r="S163" s="230">
        <f>-R163*W163</f>
        <v>-2.0421242535648996</v>
      </c>
      <c r="T163" s="26"/>
      <c r="U163" s="414">
        <v>110000</v>
      </c>
      <c r="V163" s="26" t="s">
        <v>245</v>
      </c>
      <c r="W163" s="418">
        <f>U163/$W$100</f>
        <v>76.388888888888886</v>
      </c>
      <c r="X163" s="75" t="s">
        <v>249</v>
      </c>
      <c r="Y163" s="26"/>
      <c r="Z163" s="26"/>
      <c r="AA163" s="28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9"/>
    </row>
    <row r="164" spans="2:40">
      <c r="B164" s="34"/>
      <c r="C164" s="143"/>
      <c r="D164" s="2" t="s">
        <v>227</v>
      </c>
      <c r="E164" s="2" t="s">
        <v>802</v>
      </c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>
        <f>U81/(G31+G33)*G37*1000</f>
        <v>1.0440932487454784</v>
      </c>
      <c r="R164" s="28">
        <f>SUM(F164:Q164)</f>
        <v>1.0440932487454784</v>
      </c>
      <c r="S164" s="230">
        <f>-R164*W164</f>
        <v>-79.757123168057376</v>
      </c>
      <c r="T164" s="26"/>
      <c r="U164" s="414">
        <v>110000</v>
      </c>
      <c r="V164" s="26" t="s">
        <v>245</v>
      </c>
      <c r="W164" s="418">
        <f>U164/$W$100</f>
        <v>76.388888888888886</v>
      </c>
      <c r="X164" s="75" t="s">
        <v>249</v>
      </c>
      <c r="Y164" s="26"/>
      <c r="Z164" s="26"/>
      <c r="AA164" s="28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9"/>
    </row>
    <row r="165" spans="2:40">
      <c r="B165" s="34"/>
      <c r="C165" s="143"/>
      <c r="D165" s="2" t="s">
        <v>228</v>
      </c>
      <c r="E165" s="2" t="s">
        <v>798</v>
      </c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>
        <f>U85/(G31+G33)*G37*1000</f>
        <v>0.63038539245864544</v>
      </c>
      <c r="R165" s="28">
        <f>SUM(F165:Q165)</f>
        <v>0.63038539245864544</v>
      </c>
      <c r="S165" s="230">
        <f>-R165*W165</f>
        <v>-0.12169940215521072</v>
      </c>
      <c r="T165" s="26"/>
      <c r="U165" s="414">
        <v>278</v>
      </c>
      <c r="V165" s="26" t="s">
        <v>243</v>
      </c>
      <c r="W165" s="418">
        <f>U165/$W$100</f>
        <v>0.19305555555555556</v>
      </c>
      <c r="X165" s="75" t="s">
        <v>247</v>
      </c>
      <c r="Y165" s="26"/>
      <c r="Z165" s="26"/>
      <c r="AA165" s="28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9"/>
    </row>
    <row r="166" spans="2:40" ht="16.5">
      <c r="B166" s="34"/>
      <c r="C166" s="144" t="s">
        <v>229</v>
      </c>
      <c r="D166" s="145" t="s">
        <v>230</v>
      </c>
      <c r="E166" s="145" t="s">
        <v>802</v>
      </c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>
        <f>AF8/(G31+G33)*G37*1000</f>
        <v>0.29812696462477717</v>
      </c>
      <c r="R166" s="77">
        <f>SUM(F166:Q166)</f>
        <v>0.29812696462477717</v>
      </c>
      <c r="S166" s="231">
        <f>R166*W166*(M25/100)</f>
        <v>77.34738471098386</v>
      </c>
      <c r="T166" s="26"/>
      <c r="U166" s="416">
        <v>373600</v>
      </c>
      <c r="V166" s="81" t="s">
        <v>339</v>
      </c>
      <c r="W166" s="419">
        <f>U166/$W$100</f>
        <v>259.44444444444446</v>
      </c>
      <c r="X166" s="78" t="s">
        <v>253</v>
      </c>
      <c r="Y166" s="26"/>
      <c r="Z166" s="26"/>
      <c r="AA166" s="28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9"/>
    </row>
    <row r="167" spans="2:40">
      <c r="B167" s="34"/>
      <c r="C167" s="26"/>
      <c r="D167" s="26"/>
      <c r="E167" s="26"/>
      <c r="F167" s="26"/>
      <c r="G167" s="28"/>
      <c r="H167" s="26"/>
      <c r="I167" s="26"/>
      <c r="J167" s="28"/>
      <c r="K167" s="26"/>
      <c r="L167" s="26"/>
      <c r="M167" s="26"/>
      <c r="N167" s="28"/>
      <c r="O167" s="26"/>
      <c r="P167" s="27" t="s">
        <v>616</v>
      </c>
      <c r="Q167" s="27" t="s">
        <v>104</v>
      </c>
      <c r="R167" s="27">
        <f>R156</f>
        <v>3676.4430062900838</v>
      </c>
      <c r="S167" s="27" t="s">
        <v>781</v>
      </c>
      <c r="T167" s="26"/>
      <c r="U167" s="26"/>
      <c r="V167" s="26"/>
      <c r="W167" s="28"/>
      <c r="X167" s="26"/>
      <c r="Y167" s="26"/>
      <c r="Z167" s="26"/>
      <c r="AA167" s="28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9"/>
    </row>
    <row r="168" spans="2:40">
      <c r="B168" s="34"/>
      <c r="C168" s="26"/>
      <c r="D168" s="26"/>
      <c r="E168" s="26"/>
      <c r="F168" s="26"/>
      <c r="G168" s="28"/>
      <c r="H168" s="26" t="s">
        <v>803</v>
      </c>
      <c r="I168" s="26"/>
      <c r="J168" s="26"/>
      <c r="K168" s="28"/>
      <c r="L168" s="26"/>
      <c r="M168" s="26"/>
      <c r="N168" s="26"/>
      <c r="O168" s="28"/>
      <c r="P168" s="27"/>
      <c r="Q168" s="27"/>
      <c r="R168" s="6">
        <f>R167/1000</f>
        <v>3.6764430062900839</v>
      </c>
      <c r="S168" s="27" t="s">
        <v>783</v>
      </c>
      <c r="T168" s="28"/>
      <c r="U168" s="26"/>
      <c r="V168" s="26"/>
      <c r="W168" s="26"/>
      <c r="X168" s="28"/>
      <c r="Y168" s="26"/>
      <c r="Z168" s="26"/>
      <c r="AA168" s="26"/>
      <c r="AB168" s="28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9"/>
    </row>
    <row r="169" spans="2:40">
      <c r="B169" s="34"/>
      <c r="C169" s="26"/>
      <c r="D169" s="26"/>
      <c r="E169" s="26"/>
      <c r="F169" s="26"/>
      <c r="G169" s="28"/>
      <c r="H169" s="26"/>
      <c r="I169" s="26"/>
      <c r="J169" s="26"/>
      <c r="K169" s="28"/>
      <c r="L169" s="26"/>
      <c r="M169" s="26"/>
      <c r="N169" s="26"/>
      <c r="O169" s="28"/>
      <c r="P169" s="27"/>
      <c r="Q169" s="27" t="s">
        <v>194</v>
      </c>
      <c r="R169" s="27">
        <f>R157</f>
        <v>6197.2650488574182</v>
      </c>
      <c r="S169" s="27" t="s">
        <v>781</v>
      </c>
      <c r="T169" s="28"/>
      <c r="U169" s="26"/>
      <c r="V169" s="26"/>
      <c r="W169" s="26"/>
      <c r="X169" s="28"/>
      <c r="Y169" s="26"/>
      <c r="Z169" s="26"/>
      <c r="AA169" s="26"/>
      <c r="AB169" s="28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9"/>
    </row>
    <row r="170" spans="2:40">
      <c r="B170" s="34"/>
      <c r="C170" s="26"/>
      <c r="D170" s="26"/>
      <c r="E170" s="26"/>
      <c r="F170" s="26"/>
      <c r="G170" s="28"/>
      <c r="H170" s="26"/>
      <c r="I170" s="26"/>
      <c r="J170" s="26"/>
      <c r="K170" s="28"/>
      <c r="L170" s="26"/>
      <c r="M170" s="26"/>
      <c r="N170" s="26"/>
      <c r="O170" s="28"/>
      <c r="P170" s="27"/>
      <c r="Q170" s="27"/>
      <c r="R170" s="6">
        <f>R169/1000</f>
        <v>6.1972650488574184</v>
      </c>
      <c r="S170" s="27" t="s">
        <v>783</v>
      </c>
      <c r="T170" s="28"/>
      <c r="U170" s="26"/>
      <c r="V170" s="26"/>
      <c r="W170" s="26"/>
      <c r="X170" s="28"/>
      <c r="Y170" s="26"/>
      <c r="Z170" s="26"/>
      <c r="AA170" s="26"/>
      <c r="AB170" s="28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9"/>
    </row>
    <row r="171" spans="2:40">
      <c r="B171" s="34"/>
      <c r="C171" s="26"/>
      <c r="D171" s="26"/>
      <c r="E171" s="26"/>
      <c r="F171" s="26"/>
      <c r="G171" s="28"/>
      <c r="H171" s="26"/>
      <c r="I171" s="26"/>
      <c r="J171" s="26"/>
      <c r="K171" s="28"/>
      <c r="L171" s="26"/>
      <c r="M171" s="26"/>
      <c r="N171" s="26"/>
      <c r="O171" s="28"/>
      <c r="P171" s="27"/>
      <c r="Q171" s="6" t="s">
        <v>732</v>
      </c>
      <c r="R171" s="27">
        <f>SUM(R167,R169)</f>
        <v>9873.708055147501</v>
      </c>
      <c r="S171" s="27" t="s">
        <v>781</v>
      </c>
      <c r="T171" s="28"/>
      <c r="U171" s="26"/>
      <c r="V171" s="26"/>
      <c r="W171" s="26"/>
      <c r="X171" s="28"/>
      <c r="Y171" s="26"/>
      <c r="Z171" s="26"/>
      <c r="AA171" s="26"/>
      <c r="AB171" s="28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9"/>
    </row>
    <row r="172" spans="2:40">
      <c r="B172" s="34"/>
      <c r="C172" s="26"/>
      <c r="D172" s="26"/>
      <c r="E172" s="26"/>
      <c r="F172" s="26"/>
      <c r="G172" s="28"/>
      <c r="H172" s="26"/>
      <c r="I172" s="26"/>
      <c r="J172" s="26"/>
      <c r="K172" s="28"/>
      <c r="L172" s="26"/>
      <c r="M172" s="26"/>
      <c r="N172" s="26"/>
      <c r="O172" s="28"/>
      <c r="P172" s="27"/>
      <c r="Q172" s="27"/>
      <c r="R172" s="6">
        <f>SUM(R168,R170)</f>
        <v>9.8737080551475032</v>
      </c>
      <c r="S172" s="27" t="s">
        <v>783</v>
      </c>
      <c r="T172" s="28"/>
      <c r="U172" s="26"/>
      <c r="V172" s="26"/>
      <c r="W172" s="26"/>
      <c r="X172" s="28"/>
      <c r="Y172" s="26"/>
      <c r="Z172" s="26"/>
      <c r="AA172" s="26"/>
      <c r="AB172" s="28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9"/>
    </row>
    <row r="173" spans="2:40" ht="15.75" thickBot="1">
      <c r="B173" s="61"/>
      <c r="C173" s="62"/>
      <c r="D173" s="62"/>
      <c r="E173" s="62"/>
      <c r="F173" s="62"/>
      <c r="G173" s="63"/>
      <c r="H173" s="62"/>
      <c r="I173" s="62"/>
      <c r="J173" s="62"/>
      <c r="K173" s="63"/>
      <c r="L173" s="62"/>
      <c r="M173" s="62"/>
      <c r="N173" s="62"/>
      <c r="O173" s="63"/>
      <c r="P173" s="241" t="s">
        <v>618</v>
      </c>
      <c r="Q173" s="241"/>
      <c r="R173" s="241">
        <f>SUM(S156:S166)</f>
        <v>-79.954847750975077</v>
      </c>
      <c r="S173" s="241" t="s">
        <v>789</v>
      </c>
      <c r="T173" s="63"/>
      <c r="U173" s="62"/>
      <c r="V173" s="62"/>
      <c r="W173" s="62"/>
      <c r="X173" s="63"/>
      <c r="Y173" s="62"/>
      <c r="Z173" s="62"/>
      <c r="AA173" s="62"/>
      <c r="AB173" s="63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4"/>
    </row>
    <row r="174" spans="2:40" ht="16.5">
      <c r="R174" s="9" t="s">
        <v>797</v>
      </c>
    </row>
  </sheetData>
  <sheetProtection algorithmName="SHA-512" hashValue="p72/sgxoeRQ2LyQfM77CRiEYT+bMd40tS5MrosXYmWCsWj8jiETAap0aITTcoMc49M7VdCQQv/MdqcEG12JzLA==" saltValue="T0nnGD5XKCibKoTMZwWlsg==" spinCount="100000" sheet="1" objects="1" scenarios="1"/>
  <phoneticPr fontId="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D5B6-F7AE-472D-A681-49CF992663DF}">
  <dimension ref="B1:BB182"/>
  <sheetViews>
    <sheetView zoomScaleNormal="100" workbookViewId="0">
      <selection activeCell="Y159" activeCellId="18" sqref="C7 C10 C13:C18 C21:C24 F21:F24 I21:I24 M25:O25 O12 AJ54:AJ58 M79 W103:W116 Y103:Y116 Y100 W134:W147 Y134:Y147 Y131 W162:W175 Y162:Y175 Y159"/>
    </sheetView>
  </sheetViews>
  <sheetFormatPr defaultRowHeight="15"/>
  <cols>
    <col min="1" max="1" width="4.75" style="9" customWidth="1"/>
    <col min="2" max="2" width="10.625" style="9" customWidth="1"/>
    <col min="3" max="3" width="9.625" style="9" customWidth="1"/>
    <col min="4" max="4" width="10.375" style="9" customWidth="1"/>
    <col min="5" max="5" width="9" style="9"/>
    <col min="6" max="6" width="10.625" style="9" customWidth="1"/>
    <col min="7" max="7" width="9.625" style="12" customWidth="1"/>
    <col min="8" max="8" width="13.125" style="9" bestFit="1" customWidth="1"/>
    <col min="9" max="9" width="9.625" style="9" bestFit="1" customWidth="1"/>
    <col min="10" max="10" width="10.625" style="9" customWidth="1"/>
    <col min="11" max="11" width="9.625" style="12" customWidth="1"/>
    <col min="12" max="12" width="12.375" style="9" bestFit="1" customWidth="1"/>
    <col min="13" max="13" width="14.75" style="9" bestFit="1" customWidth="1"/>
    <col min="14" max="14" width="10.625" style="9" customWidth="1"/>
    <col min="15" max="15" width="9.625" style="12" customWidth="1"/>
    <col min="16" max="16" width="9.125" style="9" bestFit="1" customWidth="1"/>
    <col min="17" max="17" width="14" style="9" bestFit="1" customWidth="1"/>
    <col min="18" max="18" width="10.75" style="9" bestFit="1" customWidth="1"/>
    <col min="19" max="19" width="15.625" style="9" customWidth="1"/>
    <col min="20" max="20" width="14.75" style="12" bestFit="1" customWidth="1"/>
    <col min="21" max="21" width="10.5" style="9" bestFit="1" customWidth="1"/>
    <col min="22" max="22" width="12.25" style="9" bestFit="1" customWidth="1"/>
    <col min="23" max="23" width="16" style="9" bestFit="1" customWidth="1"/>
    <col min="24" max="24" width="12.75" style="12" bestFit="1" customWidth="1"/>
    <col min="25" max="25" width="10.125" style="9" customWidth="1"/>
    <col min="26" max="26" width="9" style="9"/>
    <col min="27" max="27" width="11.125" style="9" bestFit="1" customWidth="1"/>
    <col min="28" max="28" width="12.125" style="12" bestFit="1" customWidth="1"/>
    <col min="29" max="31" width="9" style="9"/>
    <col min="32" max="32" width="10.625" style="9" bestFit="1" customWidth="1"/>
    <col min="33" max="35" width="9" style="9"/>
    <col min="36" max="36" width="11.5" style="9" bestFit="1" customWidth="1"/>
    <col min="37" max="39" width="9.125" style="9" bestFit="1" customWidth="1"/>
    <col min="40" max="16384" width="9" style="9"/>
  </cols>
  <sheetData>
    <row r="1" spans="2:54">
      <c r="B1" s="8"/>
      <c r="C1" s="9" t="s">
        <v>176</v>
      </c>
      <c r="D1" s="11"/>
      <c r="E1" s="9" t="s">
        <v>104</v>
      </c>
      <c r="F1" s="119"/>
      <c r="G1" s="12" t="s">
        <v>194</v>
      </c>
      <c r="H1" s="13"/>
      <c r="I1" s="9" t="s">
        <v>192</v>
      </c>
      <c r="K1" s="288"/>
      <c r="L1" s="9" t="s">
        <v>653</v>
      </c>
    </row>
    <row r="2" spans="2:54" s="10" customFormat="1">
      <c r="G2" s="14"/>
      <c r="J2" s="15"/>
      <c r="K2" s="14"/>
      <c r="O2" s="14"/>
      <c r="T2" s="14"/>
      <c r="X2" s="14"/>
      <c r="AB2" s="14"/>
    </row>
    <row r="3" spans="2:54">
      <c r="B3" s="16" t="s">
        <v>183</v>
      </c>
    </row>
    <row r="4" spans="2:54" ht="15.75" thickBot="1">
      <c r="B4" s="17" t="s">
        <v>185</v>
      </c>
      <c r="R4" s="17" t="s">
        <v>186</v>
      </c>
    </row>
    <row r="5" spans="2:54">
      <c r="B5" s="18" t="s">
        <v>7</v>
      </c>
      <c r="C5" s="19"/>
      <c r="D5" s="19"/>
      <c r="E5" s="19"/>
      <c r="F5" s="20" t="s">
        <v>8</v>
      </c>
      <c r="G5" s="21"/>
      <c r="H5" s="19"/>
      <c r="I5" s="19"/>
      <c r="J5" s="19"/>
      <c r="K5" s="21"/>
      <c r="L5" s="19"/>
      <c r="M5" s="19"/>
      <c r="N5" s="19"/>
      <c r="O5" s="21"/>
      <c r="P5" s="22"/>
      <c r="R5" s="23" t="s">
        <v>629</v>
      </c>
      <c r="S5" s="19"/>
      <c r="T5" s="24"/>
      <c r="U5" s="19"/>
      <c r="V5" s="19"/>
      <c r="W5" s="19"/>
      <c r="X5" s="21"/>
      <c r="Y5" s="19"/>
      <c r="Z5" s="19"/>
      <c r="AA5" s="19"/>
      <c r="AB5" s="21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22"/>
    </row>
    <row r="6" spans="2:54">
      <c r="B6" s="25"/>
      <c r="C6" s="26"/>
      <c r="D6" s="26"/>
      <c r="E6" s="26"/>
      <c r="F6" s="27" t="s">
        <v>9</v>
      </c>
      <c r="G6" s="28"/>
      <c r="H6" s="26"/>
      <c r="I6" s="26"/>
      <c r="J6" s="27" t="s">
        <v>184</v>
      </c>
      <c r="K6" s="28"/>
      <c r="L6" s="26"/>
      <c r="M6" s="26"/>
      <c r="N6" s="27" t="s">
        <v>39</v>
      </c>
      <c r="O6" s="28"/>
      <c r="P6" s="29"/>
      <c r="R6" s="30"/>
      <c r="S6" s="26"/>
      <c r="T6" s="6"/>
      <c r="U6" s="26"/>
      <c r="V6" s="26"/>
      <c r="W6" s="26"/>
      <c r="X6" s="28"/>
      <c r="Y6" s="26"/>
      <c r="Z6" s="26"/>
      <c r="AA6" s="26"/>
      <c r="AB6" s="28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9"/>
    </row>
    <row r="7" spans="2:54">
      <c r="B7" s="31" t="s">
        <v>1</v>
      </c>
      <c r="C7" s="400">
        <v>22352</v>
      </c>
      <c r="D7" s="33" t="s">
        <v>4</v>
      </c>
      <c r="E7" s="26"/>
      <c r="F7" s="26"/>
      <c r="G7" s="28"/>
      <c r="H7" s="26"/>
      <c r="I7" s="26"/>
      <c r="J7" s="26"/>
      <c r="K7" s="28"/>
      <c r="L7" s="26"/>
      <c r="M7" s="26"/>
      <c r="N7" s="26"/>
      <c r="O7" s="28"/>
      <c r="P7" s="29"/>
      <c r="R7" s="30" t="s">
        <v>138</v>
      </c>
      <c r="S7" s="35"/>
      <c r="T7" s="28"/>
      <c r="U7" s="36"/>
      <c r="V7" s="26"/>
      <c r="W7" s="35" t="s">
        <v>259</v>
      </c>
      <c r="X7" s="32"/>
      <c r="Y7" s="33"/>
      <c r="Z7" s="33"/>
      <c r="AA7" s="26"/>
      <c r="AB7" s="32"/>
      <c r="AC7" s="33"/>
      <c r="AD7" s="33"/>
      <c r="AE7" s="120"/>
      <c r="AF7" s="33"/>
      <c r="AG7" s="33"/>
      <c r="AH7" s="26"/>
      <c r="AI7" s="35" t="s">
        <v>260</v>
      </c>
      <c r="AJ7" s="26"/>
      <c r="AK7" s="26"/>
      <c r="AL7" s="26"/>
      <c r="AM7" s="26"/>
      <c r="AN7" s="29"/>
    </row>
    <row r="8" spans="2:54">
      <c r="B8" s="31"/>
      <c r="C8" s="32">
        <f>C7/24</f>
        <v>931.33333333333337</v>
      </c>
      <c r="D8" s="33" t="s">
        <v>6</v>
      </c>
      <c r="E8" s="26"/>
      <c r="F8" s="36" t="s">
        <v>18</v>
      </c>
      <c r="G8" s="28">
        <v>4</v>
      </c>
      <c r="H8" s="26" t="s">
        <v>10</v>
      </c>
      <c r="I8" s="26"/>
      <c r="J8" s="36" t="s">
        <v>1</v>
      </c>
      <c r="K8" s="28">
        <f>C7*G11/100</f>
        <v>20597.367999999999</v>
      </c>
      <c r="L8" s="26" t="s">
        <v>4</v>
      </c>
      <c r="M8" s="26"/>
      <c r="N8" s="36" t="s">
        <v>1</v>
      </c>
      <c r="O8" s="28">
        <f>K8*K15/100</f>
        <v>20597.367999999999</v>
      </c>
      <c r="P8" s="29" t="s">
        <v>4</v>
      </c>
      <c r="R8" s="34"/>
      <c r="S8" s="36" t="s">
        <v>139</v>
      </c>
      <c r="T8" s="28">
        <v>1</v>
      </c>
      <c r="U8" s="36" t="s">
        <v>12</v>
      </c>
      <c r="V8" s="26"/>
      <c r="W8" s="122" t="s">
        <v>263</v>
      </c>
      <c r="X8" s="121"/>
      <c r="Y8" s="49"/>
      <c r="Z8" s="33"/>
      <c r="AA8" s="35" t="s">
        <v>275</v>
      </c>
      <c r="AB8" s="32"/>
      <c r="AC8" s="49"/>
      <c r="AD8" s="33"/>
      <c r="AE8" s="27" t="s">
        <v>311</v>
      </c>
      <c r="AF8" s="65"/>
      <c r="AG8" s="26"/>
      <c r="AH8" s="26"/>
      <c r="AI8" s="2" t="s">
        <v>743</v>
      </c>
      <c r="AJ8" s="26"/>
      <c r="AK8" s="26"/>
      <c r="AL8" s="26"/>
      <c r="AM8" s="26"/>
      <c r="AN8" s="29"/>
    </row>
    <row r="9" spans="2:54" ht="16.5">
      <c r="B9" s="34"/>
      <c r="C9" s="96">
        <f>C7/SUM(C7,C10)</f>
        <v>0.24914173614516921</v>
      </c>
      <c r="D9" s="9" t="s">
        <v>778</v>
      </c>
      <c r="E9" s="26"/>
      <c r="F9" s="38" t="s">
        <v>26</v>
      </c>
      <c r="G9" s="39">
        <v>30</v>
      </c>
      <c r="H9" s="40" t="s">
        <v>14</v>
      </c>
      <c r="I9" s="26"/>
      <c r="J9" s="36"/>
      <c r="K9" s="28">
        <f>K8/24</f>
        <v>858.22366666666665</v>
      </c>
      <c r="L9" s="26" t="s">
        <v>6</v>
      </c>
      <c r="M9" s="26"/>
      <c r="N9" s="36"/>
      <c r="O9" s="28">
        <f>O8/24</f>
        <v>858.22366666666665</v>
      </c>
      <c r="P9" s="29" t="s">
        <v>5</v>
      </c>
      <c r="R9" s="34"/>
      <c r="S9" s="38" t="s">
        <v>146</v>
      </c>
      <c r="T9" s="39">
        <f>O13-(O8*T8/100)</f>
        <v>2265.7104799999997</v>
      </c>
      <c r="U9" s="38" t="s">
        <v>20</v>
      </c>
      <c r="V9" s="26"/>
      <c r="W9" s="36" t="s">
        <v>265</v>
      </c>
      <c r="X9" s="28"/>
      <c r="Y9" s="36"/>
      <c r="Z9" s="49"/>
      <c r="AA9" s="3" t="s">
        <v>1</v>
      </c>
      <c r="AB9" s="32">
        <f>X21</f>
        <v>858.22366666666665</v>
      </c>
      <c r="AC9" s="128" t="s">
        <v>5</v>
      </c>
      <c r="AD9" s="33"/>
      <c r="AE9" s="3" t="s">
        <v>307</v>
      </c>
      <c r="AF9" s="28">
        <v>200</v>
      </c>
      <c r="AG9" s="3" t="s">
        <v>340</v>
      </c>
      <c r="AH9" s="26"/>
      <c r="AI9" s="3" t="s">
        <v>744</v>
      </c>
      <c r="AJ9" s="3">
        <v>1</v>
      </c>
      <c r="AK9" s="3" t="s">
        <v>312</v>
      </c>
      <c r="AL9" s="3"/>
      <c r="AM9" s="3"/>
      <c r="AN9" s="146"/>
      <c r="AO9" s="3"/>
    </row>
    <row r="10" spans="2:54" ht="16.5">
      <c r="B10" s="31" t="s">
        <v>2</v>
      </c>
      <c r="C10" s="400">
        <v>67364</v>
      </c>
      <c r="D10" s="33" t="s">
        <v>4</v>
      </c>
      <c r="E10" s="26"/>
      <c r="F10" s="38"/>
      <c r="G10" s="39">
        <f>C10*G9/100</f>
        <v>20209.2</v>
      </c>
      <c r="H10" s="40" t="s">
        <v>162</v>
      </c>
      <c r="I10" s="26"/>
      <c r="J10" s="36" t="s">
        <v>2</v>
      </c>
      <c r="K10" s="28">
        <f>C10*(1-G11/100)</f>
        <v>5288.0740000000087</v>
      </c>
      <c r="L10" s="26" t="s">
        <v>4</v>
      </c>
      <c r="M10" s="26"/>
      <c r="N10" s="36" t="s">
        <v>2</v>
      </c>
      <c r="O10" s="28">
        <f>K10*(1-K16/100)</f>
        <v>21.152296000000053</v>
      </c>
      <c r="P10" s="29" t="s">
        <v>4</v>
      </c>
      <c r="R10" s="34"/>
      <c r="S10" s="38"/>
      <c r="T10" s="41">
        <f>T9/24</f>
        <v>94.404603333333327</v>
      </c>
      <c r="U10" s="42" t="s">
        <v>147</v>
      </c>
      <c r="V10" s="26"/>
      <c r="W10" s="36" t="s">
        <v>266</v>
      </c>
      <c r="X10" s="28"/>
      <c r="Y10" s="36"/>
      <c r="Z10" s="49"/>
      <c r="AA10" s="123" t="s">
        <v>303</v>
      </c>
      <c r="AB10" s="124">
        <f>X22</f>
        <v>1097.2211550807087</v>
      </c>
      <c r="AC10" s="130" t="s">
        <v>147</v>
      </c>
      <c r="AD10" s="33"/>
      <c r="AE10" s="3" t="s">
        <v>309</v>
      </c>
      <c r="AF10" s="28">
        <v>75</v>
      </c>
      <c r="AG10" s="3" t="s">
        <v>340</v>
      </c>
      <c r="AH10" s="26"/>
      <c r="AI10" s="3" t="s">
        <v>745</v>
      </c>
      <c r="AJ10" s="3">
        <v>155</v>
      </c>
      <c r="AK10" s="3" t="s">
        <v>340</v>
      </c>
      <c r="AL10" s="3"/>
      <c r="AM10" s="3"/>
      <c r="AN10" s="146"/>
      <c r="AO10" s="3"/>
    </row>
    <row r="11" spans="2:54" ht="16.5">
      <c r="B11" s="31"/>
      <c r="C11" s="32">
        <f>C10/24</f>
        <v>2806.8333333333335</v>
      </c>
      <c r="D11" s="33" t="s">
        <v>5</v>
      </c>
      <c r="E11" s="26"/>
      <c r="F11" s="43" t="s">
        <v>27</v>
      </c>
      <c r="G11" s="44">
        <f>97*0.95</f>
        <v>92.149999999999991</v>
      </c>
      <c r="H11" s="45" t="s">
        <v>12</v>
      </c>
      <c r="I11" s="26"/>
      <c r="J11" s="36"/>
      <c r="K11" s="28">
        <f>K10/24</f>
        <v>220.33641666666702</v>
      </c>
      <c r="L11" s="26" t="s">
        <v>5</v>
      </c>
      <c r="M11" s="26"/>
      <c r="N11" s="36"/>
      <c r="O11" s="28">
        <f>O10/24</f>
        <v>0.88134566666666891</v>
      </c>
      <c r="P11" s="29" t="s">
        <v>5</v>
      </c>
      <c r="R11" s="34"/>
      <c r="S11" s="36" t="s">
        <v>140</v>
      </c>
      <c r="T11" s="28">
        <v>75</v>
      </c>
      <c r="U11" s="36" t="s">
        <v>198</v>
      </c>
      <c r="V11" s="26"/>
      <c r="W11" s="36"/>
      <c r="X11" s="28">
        <f>5/1.5</f>
        <v>3.3333333333333335</v>
      </c>
      <c r="Y11" s="130" t="s">
        <v>273</v>
      </c>
      <c r="Z11" s="128"/>
      <c r="AA11" s="3" t="s">
        <v>291</v>
      </c>
      <c r="AB11" s="28">
        <v>12.5</v>
      </c>
      <c r="AC11" s="3" t="s">
        <v>340</v>
      </c>
      <c r="AD11" s="33"/>
      <c r="AE11" s="3" t="s">
        <v>341</v>
      </c>
      <c r="AF11" s="28">
        <f>AF9-AF10</f>
        <v>125</v>
      </c>
      <c r="AG11" s="3" t="s">
        <v>340</v>
      </c>
      <c r="AH11" s="26"/>
      <c r="AI11" s="3" t="s">
        <v>746</v>
      </c>
      <c r="AJ11" s="3">
        <v>77.2</v>
      </c>
      <c r="AK11" s="3" t="s">
        <v>340</v>
      </c>
      <c r="AL11" s="3"/>
      <c r="AM11" s="3"/>
      <c r="AN11" s="146"/>
      <c r="AO11" s="3"/>
    </row>
    <row r="12" spans="2:54" ht="16.5">
      <c r="B12" s="34"/>
      <c r="C12" s="96">
        <f>C10/SUM(C10,C7)</f>
        <v>0.75085826385483079</v>
      </c>
      <c r="D12" s="9" t="s">
        <v>778</v>
      </c>
      <c r="E12" s="26"/>
      <c r="F12" s="36"/>
      <c r="G12" s="28"/>
      <c r="H12" s="26"/>
      <c r="I12" s="26"/>
      <c r="J12" s="38" t="s">
        <v>31</v>
      </c>
      <c r="K12" s="39">
        <v>100</v>
      </c>
      <c r="L12" s="40" t="s">
        <v>24</v>
      </c>
      <c r="M12" s="26"/>
      <c r="N12" s="43" t="s">
        <v>40</v>
      </c>
      <c r="O12" s="400">
        <v>12</v>
      </c>
      <c r="P12" s="46" t="s">
        <v>12</v>
      </c>
      <c r="R12" s="34"/>
      <c r="S12" s="43" t="s">
        <v>141</v>
      </c>
      <c r="T12" s="44">
        <f>C23</f>
        <v>60</v>
      </c>
      <c r="U12" s="43" t="s">
        <v>12</v>
      </c>
      <c r="V12" s="26"/>
      <c r="W12" s="36" t="s">
        <v>268</v>
      </c>
      <c r="X12" s="28">
        <v>200</v>
      </c>
      <c r="Y12" s="130" t="s">
        <v>340</v>
      </c>
      <c r="Z12" s="128"/>
      <c r="AA12" s="3" t="s">
        <v>292</v>
      </c>
      <c r="AB12" s="28">
        <v>200</v>
      </c>
      <c r="AC12" s="3" t="s">
        <v>340</v>
      </c>
      <c r="AD12" s="33"/>
      <c r="AE12" s="3"/>
      <c r="AF12" s="28"/>
      <c r="AG12" s="3"/>
      <c r="AH12" s="26"/>
      <c r="AI12" s="3" t="s">
        <v>747</v>
      </c>
      <c r="AJ12" s="3">
        <v>1.3</v>
      </c>
      <c r="AK12" s="3"/>
      <c r="AL12" s="3"/>
      <c r="AM12" s="3"/>
      <c r="AN12" s="146"/>
      <c r="AO12" s="3"/>
      <c r="AR12" s="2"/>
      <c r="AS12" s="3"/>
      <c r="AT12" s="3"/>
      <c r="AU12" s="3"/>
      <c r="AV12" s="3"/>
      <c r="AY12" s="3"/>
      <c r="AZ12" s="3"/>
      <c r="BA12" s="3"/>
      <c r="BB12" s="3"/>
    </row>
    <row r="13" spans="2:54" ht="16.5">
      <c r="B13" s="31" t="s">
        <v>17</v>
      </c>
      <c r="C13" s="400">
        <v>1.33</v>
      </c>
      <c r="D13" s="33" t="s">
        <v>19</v>
      </c>
      <c r="E13" s="26"/>
      <c r="F13" s="48"/>
      <c r="G13" s="9"/>
      <c r="I13" s="26"/>
      <c r="J13" s="38" t="s">
        <v>26</v>
      </c>
      <c r="K13" s="39">
        <f>K12*K8/100</f>
        <v>20597.367999999999</v>
      </c>
      <c r="L13" s="40" t="s">
        <v>20</v>
      </c>
      <c r="M13" s="26"/>
      <c r="N13" s="36" t="s">
        <v>137</v>
      </c>
      <c r="O13" s="28">
        <f>O12/100*O8</f>
        <v>2471.6841599999998</v>
      </c>
      <c r="P13" s="29" t="s">
        <v>20</v>
      </c>
      <c r="R13" s="34"/>
      <c r="S13" s="36"/>
      <c r="T13" s="28"/>
      <c r="U13" s="36"/>
      <c r="V13" s="26"/>
      <c r="W13" s="36" t="s">
        <v>270</v>
      </c>
      <c r="X13" s="32">
        <v>1</v>
      </c>
      <c r="Y13" s="129" t="s">
        <v>272</v>
      </c>
      <c r="Z13" s="128"/>
      <c r="AA13" s="3" t="s">
        <v>341</v>
      </c>
      <c r="AB13" s="28">
        <v>187.5</v>
      </c>
      <c r="AC13" s="3" t="s">
        <v>340</v>
      </c>
      <c r="AD13" s="33"/>
      <c r="AE13" s="3" t="s">
        <v>305</v>
      </c>
      <c r="AF13" s="28">
        <f>AF11*AB16*AB10</f>
        <v>384027.40427824808</v>
      </c>
      <c r="AG13" s="3" t="s">
        <v>299</v>
      </c>
      <c r="AH13" s="26"/>
      <c r="AI13" s="3" t="s">
        <v>748</v>
      </c>
      <c r="AJ13" s="3">
        <f>AJ12+1</f>
        <v>2.2999999999999998</v>
      </c>
      <c r="AK13" s="3"/>
      <c r="AL13" s="3"/>
      <c r="AM13" s="3"/>
      <c r="AN13" s="146"/>
      <c r="AO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2:54" ht="16.5">
      <c r="B14" s="31" t="s">
        <v>15</v>
      </c>
      <c r="C14" s="400">
        <v>0.87</v>
      </c>
      <c r="D14" s="33" t="s">
        <v>16</v>
      </c>
      <c r="E14" s="26"/>
      <c r="F14" s="36"/>
      <c r="G14" s="28"/>
      <c r="H14" s="26"/>
      <c r="I14" s="26"/>
      <c r="J14" s="38" t="s">
        <v>32</v>
      </c>
      <c r="K14" s="39">
        <f>K13*(0.25/100)</f>
        <v>51.49342</v>
      </c>
      <c r="L14" s="40" t="s">
        <v>13</v>
      </c>
      <c r="M14" s="26"/>
      <c r="N14" s="36"/>
      <c r="O14" s="28"/>
      <c r="P14" s="29"/>
      <c r="R14" s="34" t="s">
        <v>758</v>
      </c>
      <c r="S14" s="36" t="s">
        <v>142</v>
      </c>
      <c r="T14" s="28">
        <v>1</v>
      </c>
      <c r="U14" s="36" t="s">
        <v>199</v>
      </c>
      <c r="V14" s="26"/>
      <c r="W14" s="270" t="s">
        <v>651</v>
      </c>
      <c r="X14" s="271">
        <f>I23</f>
        <v>86</v>
      </c>
      <c r="Y14" s="272" t="s">
        <v>12</v>
      </c>
      <c r="Z14" s="128" t="s">
        <v>274</v>
      </c>
      <c r="AA14" s="3" t="s">
        <v>293</v>
      </c>
      <c r="AB14" s="28">
        <v>0.22</v>
      </c>
      <c r="AC14" s="3"/>
      <c r="AD14" s="33"/>
      <c r="AE14" s="3" t="s">
        <v>298</v>
      </c>
      <c r="AF14" s="28">
        <f>AF11*AB9*AB15</f>
        <v>193100.32499999998</v>
      </c>
      <c r="AG14" s="3" t="s">
        <v>299</v>
      </c>
      <c r="AH14" s="26"/>
      <c r="AI14" s="3" t="s">
        <v>342</v>
      </c>
      <c r="AJ14" s="3"/>
      <c r="AK14" s="3"/>
      <c r="AL14" s="3"/>
      <c r="AM14" s="3"/>
      <c r="AN14" s="146"/>
      <c r="AO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2:54" ht="17.25" thickBot="1">
      <c r="B15" s="31" t="s">
        <v>21</v>
      </c>
      <c r="C15" s="400">
        <v>78.400000000000006</v>
      </c>
      <c r="D15" s="33" t="s">
        <v>12</v>
      </c>
      <c r="E15" s="26"/>
      <c r="F15" s="36"/>
      <c r="G15" s="28"/>
      <c r="H15" s="26"/>
      <c r="I15" s="26"/>
      <c r="J15" s="43" t="s">
        <v>29</v>
      </c>
      <c r="K15" s="44">
        <v>100</v>
      </c>
      <c r="L15" s="45" t="s">
        <v>12</v>
      </c>
      <c r="M15" s="26"/>
      <c r="N15" s="36"/>
      <c r="O15" s="28"/>
      <c r="P15" s="29"/>
      <c r="R15" s="34" t="s">
        <v>759</v>
      </c>
      <c r="S15" s="36" t="s">
        <v>143</v>
      </c>
      <c r="T15" s="28">
        <v>540</v>
      </c>
      <c r="U15" s="36" t="s">
        <v>145</v>
      </c>
      <c r="V15" s="26"/>
      <c r="W15" s="26" t="s">
        <v>289</v>
      </c>
      <c r="X15" s="32">
        <v>18</v>
      </c>
      <c r="Y15" s="129" t="s">
        <v>290</v>
      </c>
      <c r="Z15" s="128"/>
      <c r="AA15" s="3" t="s">
        <v>294</v>
      </c>
      <c r="AB15" s="28">
        <v>1.8</v>
      </c>
      <c r="AC15" s="3" t="s">
        <v>295</v>
      </c>
      <c r="AD15" s="33"/>
      <c r="AE15" s="3" t="s">
        <v>310</v>
      </c>
      <c r="AF15" s="28">
        <f>SUM(AF13:AF14)</f>
        <v>577127.72927824804</v>
      </c>
      <c r="AG15" s="3" t="s">
        <v>302</v>
      </c>
      <c r="AH15" s="26"/>
      <c r="AI15" s="3" t="s">
        <v>343</v>
      </c>
      <c r="AJ15" s="3"/>
      <c r="AK15" s="3"/>
      <c r="AL15" s="3"/>
      <c r="AM15" s="3"/>
      <c r="AN15" s="146"/>
      <c r="AO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2:54" ht="15.75" thickBot="1">
      <c r="B16" s="31" t="s">
        <v>22</v>
      </c>
      <c r="C16" s="400">
        <v>0.27500000000000002</v>
      </c>
      <c r="D16" s="33" t="s">
        <v>121</v>
      </c>
      <c r="E16" s="26"/>
      <c r="F16" s="50" t="s">
        <v>104</v>
      </c>
      <c r="G16" s="51">
        <f>36*2+(50*3.6)</f>
        <v>252</v>
      </c>
      <c r="H16" s="52" t="s">
        <v>109</v>
      </c>
      <c r="I16" s="26"/>
      <c r="J16" s="43" t="s">
        <v>28</v>
      </c>
      <c r="K16" s="44">
        <v>99.6</v>
      </c>
      <c r="L16" s="45" t="s">
        <v>12</v>
      </c>
      <c r="M16" s="26"/>
      <c r="N16" s="36" t="s">
        <v>777</v>
      </c>
      <c r="O16" s="96">
        <f>O10/(O8+O10)</f>
        <v>1.0258881673532901E-3</v>
      </c>
      <c r="P16" s="29" t="s">
        <v>787</v>
      </c>
      <c r="R16" s="34"/>
      <c r="S16" s="36"/>
      <c r="T16" s="28"/>
      <c r="U16" s="36"/>
      <c r="V16" s="26"/>
      <c r="W16" s="36" t="s">
        <v>264</v>
      </c>
      <c r="X16" s="32"/>
      <c r="Y16" s="129"/>
      <c r="Z16" s="128"/>
      <c r="AA16" s="3" t="s">
        <v>296</v>
      </c>
      <c r="AB16" s="28">
        <v>2.8</v>
      </c>
      <c r="AC16" s="3" t="s">
        <v>295</v>
      </c>
      <c r="AD16" s="33"/>
      <c r="AE16" s="47" t="s">
        <v>661</v>
      </c>
      <c r="AF16" s="44">
        <f>C22</f>
        <v>60</v>
      </c>
      <c r="AG16" s="47" t="s">
        <v>168</v>
      </c>
      <c r="AH16" s="26"/>
      <c r="AI16" s="3" t="s">
        <v>313</v>
      </c>
      <c r="AJ16" s="3">
        <v>20</v>
      </c>
      <c r="AK16" s="3" t="s">
        <v>295</v>
      </c>
      <c r="AL16" s="3" t="s">
        <v>314</v>
      </c>
      <c r="AM16" s="147">
        <f>AF24</f>
        <v>1209.7750395347116</v>
      </c>
      <c r="AN16" s="146" t="s">
        <v>315</v>
      </c>
      <c r="AR16" s="3"/>
      <c r="AS16" s="3"/>
      <c r="AT16" s="3"/>
      <c r="AU16" s="3"/>
      <c r="AV16" s="3"/>
      <c r="AY16" s="3"/>
      <c r="AZ16" s="3"/>
      <c r="BA16" s="3"/>
      <c r="BB16" s="3"/>
    </row>
    <row r="17" spans="2:54" ht="15.75" thickBot="1">
      <c r="B17" s="31" t="s">
        <v>23</v>
      </c>
      <c r="C17" s="400">
        <v>0.24199999999999999</v>
      </c>
      <c r="D17" s="33" t="s">
        <v>122</v>
      </c>
      <c r="E17" s="26"/>
      <c r="F17" s="33"/>
      <c r="G17" s="32"/>
      <c r="H17" s="33"/>
      <c r="I17" s="26"/>
      <c r="J17" s="36" t="s">
        <v>240</v>
      </c>
      <c r="K17" s="28"/>
      <c r="L17" s="26"/>
      <c r="M17" s="26"/>
      <c r="N17" s="36" t="s">
        <v>776</v>
      </c>
      <c r="O17" s="96">
        <f>1-O16</f>
        <v>0.99897411183264673</v>
      </c>
      <c r="P17" s="29" t="s">
        <v>787</v>
      </c>
      <c r="R17" s="34"/>
      <c r="S17" s="36" t="s">
        <v>741</v>
      </c>
      <c r="T17" s="6">
        <f>T10*((T14*(T11-C18))+T15)/(T12/100)</f>
        <v>94797.955847222227</v>
      </c>
      <c r="U17" s="36" t="s">
        <v>149</v>
      </c>
      <c r="V17" s="26"/>
      <c r="W17" s="49" t="s">
        <v>284</v>
      </c>
      <c r="X17" s="32">
        <f>X11*X21</f>
        <v>2860.7455555555557</v>
      </c>
      <c r="Y17" s="36" t="s">
        <v>285</v>
      </c>
      <c r="Z17" s="128"/>
      <c r="AA17" s="3" t="s">
        <v>297</v>
      </c>
      <c r="AB17" s="28">
        <v>93</v>
      </c>
      <c r="AC17" s="3" t="s">
        <v>295</v>
      </c>
      <c r="AD17" s="33"/>
      <c r="AE17" s="26"/>
      <c r="AF17" s="28"/>
      <c r="AG17" s="26"/>
      <c r="AH17" s="26"/>
      <c r="AI17" s="3" t="s">
        <v>316</v>
      </c>
      <c r="AJ17" s="3">
        <v>2.6</v>
      </c>
      <c r="AK17" s="3" t="s">
        <v>295</v>
      </c>
      <c r="AL17" s="3" t="s">
        <v>303</v>
      </c>
      <c r="AM17" s="147">
        <f>AF26</f>
        <v>625.41605839600402</v>
      </c>
      <c r="AN17" s="146" t="s">
        <v>315</v>
      </c>
      <c r="AR17" s="3"/>
      <c r="AS17" s="3"/>
      <c r="AT17" s="3"/>
      <c r="AU17" s="3"/>
      <c r="AV17" s="3"/>
      <c r="AY17" s="3"/>
      <c r="AZ17" s="3"/>
      <c r="BA17" s="3"/>
      <c r="BB17" s="3"/>
    </row>
    <row r="18" spans="2:54" ht="15.75" thickBot="1">
      <c r="B18" s="25" t="s">
        <v>148</v>
      </c>
      <c r="C18" s="400">
        <v>12.5</v>
      </c>
      <c r="D18" s="26"/>
      <c r="E18" s="26"/>
      <c r="F18" s="33"/>
      <c r="G18" s="32"/>
      <c r="H18" s="33"/>
      <c r="I18" s="26"/>
      <c r="J18" s="50" t="s">
        <v>104</v>
      </c>
      <c r="K18" s="51">
        <v>2966</v>
      </c>
      <c r="L18" s="52" t="s">
        <v>109</v>
      </c>
      <c r="M18" s="26"/>
      <c r="N18" s="36"/>
      <c r="O18" s="28"/>
      <c r="P18" s="29"/>
      <c r="R18" s="34"/>
      <c r="S18" s="53" t="s">
        <v>194</v>
      </c>
      <c r="T18" s="54">
        <f>T17*24*0.004184</f>
        <v>9519.231534354667</v>
      </c>
      <c r="U18" s="55" t="s">
        <v>109</v>
      </c>
      <c r="V18" s="26"/>
      <c r="W18" s="2"/>
      <c r="X18" s="32">
        <f>ROUNDUP(X17,-2)</f>
        <v>2900</v>
      </c>
      <c r="Y18" s="36" t="s">
        <v>285</v>
      </c>
      <c r="Z18" s="128"/>
      <c r="AA18" s="26"/>
      <c r="AB18" s="28"/>
      <c r="AC18" s="26"/>
      <c r="AD18" s="33"/>
      <c r="AE18" s="50" t="s">
        <v>161</v>
      </c>
      <c r="AF18" s="51">
        <f>AF15/(AF16/100)*24/1000</f>
        <v>23085.10917112992</v>
      </c>
      <c r="AG18" s="52" t="s">
        <v>110</v>
      </c>
      <c r="AH18" s="26"/>
      <c r="AI18" s="3" t="s">
        <v>317</v>
      </c>
      <c r="AJ18" s="3">
        <v>4.18</v>
      </c>
      <c r="AK18" s="3" t="s">
        <v>295</v>
      </c>
      <c r="AL18" s="3" t="s">
        <v>318</v>
      </c>
      <c r="AM18" s="3">
        <v>0</v>
      </c>
      <c r="AN18" s="146" t="s">
        <v>315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2:54" ht="15.75" thickBot="1">
      <c r="B19" s="25"/>
      <c r="C19" s="28"/>
      <c r="D19" s="26"/>
      <c r="E19" s="26"/>
      <c r="F19" s="33"/>
      <c r="G19" s="32"/>
      <c r="H19" s="33"/>
      <c r="I19" s="26"/>
      <c r="J19" s="50" t="s">
        <v>250</v>
      </c>
      <c r="K19" s="51">
        <v>163.19999999999999</v>
      </c>
      <c r="L19" s="52" t="s">
        <v>109</v>
      </c>
      <c r="M19" s="26"/>
      <c r="N19" s="36"/>
      <c r="O19" s="28"/>
      <c r="P19" s="29"/>
      <c r="R19" s="34"/>
      <c r="S19" s="36"/>
      <c r="T19" s="28"/>
      <c r="U19" s="36"/>
      <c r="V19" s="26"/>
      <c r="W19" s="36"/>
      <c r="X19" s="28"/>
      <c r="Y19" s="36"/>
      <c r="Z19" s="128"/>
      <c r="AA19" s="3"/>
      <c r="AB19" s="28"/>
      <c r="AC19" s="3"/>
      <c r="AD19" s="49"/>
      <c r="AE19" s="33"/>
      <c r="AF19" s="32"/>
      <c r="AG19" s="33"/>
      <c r="AH19" s="26"/>
      <c r="AI19" s="26"/>
      <c r="AJ19" s="26"/>
      <c r="AK19" s="26"/>
      <c r="AL19" s="26"/>
      <c r="AM19" s="26"/>
      <c r="AN19" s="29"/>
      <c r="AR19" s="3"/>
      <c r="AS19" s="3"/>
      <c r="AT19" s="2"/>
      <c r="AU19" s="2"/>
      <c r="AV19" s="3"/>
      <c r="AX19" s="2"/>
      <c r="AY19" s="3"/>
      <c r="AZ19" s="3"/>
      <c r="BA19" s="3"/>
      <c r="BB19" s="3"/>
    </row>
    <row r="20" spans="2:54" ht="17.25" thickBot="1">
      <c r="B20" s="253" t="s">
        <v>631</v>
      </c>
      <c r="C20" s="26" t="s">
        <v>632</v>
      </c>
      <c r="D20" s="26"/>
      <c r="E20" s="26"/>
      <c r="F20" s="26"/>
      <c r="G20" s="28"/>
      <c r="H20" s="26"/>
      <c r="I20" s="26"/>
      <c r="M20" s="26"/>
      <c r="N20" s="36"/>
      <c r="O20" s="28"/>
      <c r="P20" s="29"/>
      <c r="R20" s="34"/>
      <c r="S20" s="36" t="s">
        <v>150</v>
      </c>
      <c r="T20" s="28">
        <f>T17/100</f>
        <v>947.97955847222227</v>
      </c>
      <c r="U20" s="36" t="s">
        <v>149</v>
      </c>
      <c r="V20" s="26"/>
      <c r="W20" s="35" t="s">
        <v>288</v>
      </c>
      <c r="X20" s="28"/>
      <c r="Y20" s="130"/>
      <c r="Z20" s="128"/>
      <c r="AA20" s="3" t="s">
        <v>301</v>
      </c>
      <c r="AB20" s="28"/>
      <c r="AC20" s="3"/>
      <c r="AD20" s="33"/>
      <c r="AE20" s="33"/>
      <c r="AF20" s="32"/>
      <c r="AG20" s="33"/>
      <c r="AH20" s="26"/>
      <c r="AI20" s="26"/>
      <c r="AJ20" s="3" t="s">
        <v>307</v>
      </c>
      <c r="AK20" s="3" t="s">
        <v>309</v>
      </c>
      <c r="AL20" s="3" t="s">
        <v>341</v>
      </c>
      <c r="AM20" s="26"/>
      <c r="AN20" s="29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2:54" ht="15.75" thickBot="1">
      <c r="B21" s="254" t="s">
        <v>635</v>
      </c>
      <c r="C21" s="401">
        <v>1.3</v>
      </c>
      <c r="D21" s="255"/>
      <c r="E21" s="259" t="s">
        <v>634</v>
      </c>
      <c r="F21" s="403">
        <v>86</v>
      </c>
      <c r="G21" s="255" t="s">
        <v>638</v>
      </c>
      <c r="H21" s="259" t="s">
        <v>642</v>
      </c>
      <c r="I21" s="403">
        <v>30</v>
      </c>
      <c r="J21" s="255" t="s">
        <v>638</v>
      </c>
      <c r="K21" s="32"/>
      <c r="L21" s="35" t="s">
        <v>815</v>
      </c>
      <c r="M21" s="32"/>
      <c r="N21" s="33"/>
      <c r="O21" s="33"/>
      <c r="P21" s="29"/>
      <c r="R21" s="34"/>
      <c r="S21" s="50" t="s">
        <v>150</v>
      </c>
      <c r="T21" s="51">
        <f>T20*24*0.004184</f>
        <v>95.192315343546667</v>
      </c>
      <c r="U21" s="52" t="s">
        <v>109</v>
      </c>
      <c r="V21" s="26"/>
      <c r="W21" s="36" t="s">
        <v>1</v>
      </c>
      <c r="X21" s="32">
        <f>O9</f>
        <v>858.22366666666665</v>
      </c>
      <c r="Y21" s="128" t="s">
        <v>5</v>
      </c>
      <c r="Z21" s="128"/>
      <c r="AA21" s="3" t="s">
        <v>298</v>
      </c>
      <c r="AB21" s="28">
        <f>AB9*AB15*AB13</f>
        <v>289650.48749999999</v>
      </c>
      <c r="AC21" s="3" t="s">
        <v>299</v>
      </c>
      <c r="AD21" s="33"/>
      <c r="AE21" s="88" t="s">
        <v>567</v>
      </c>
      <c r="AF21" s="32"/>
      <c r="AG21" s="33"/>
      <c r="AH21" s="26"/>
      <c r="AI21" s="26" t="s">
        <v>277</v>
      </c>
      <c r="AJ21" s="26">
        <v>75</v>
      </c>
      <c r="AK21" s="26">
        <v>78</v>
      </c>
      <c r="AL21" s="26">
        <f>AK21-AJ21</f>
        <v>3</v>
      </c>
      <c r="AM21" s="26"/>
      <c r="AN21" s="29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2:54">
      <c r="B22" s="60" t="s">
        <v>584</v>
      </c>
      <c r="C22" s="400">
        <v>60</v>
      </c>
      <c r="D22" s="256" t="s">
        <v>638</v>
      </c>
      <c r="E22" s="260" t="s">
        <v>637</v>
      </c>
      <c r="F22" s="404">
        <v>30</v>
      </c>
      <c r="G22" s="256" t="s">
        <v>638</v>
      </c>
      <c r="H22" s="260" t="s">
        <v>650</v>
      </c>
      <c r="I22" s="404">
        <v>50</v>
      </c>
      <c r="J22" s="256" t="s">
        <v>638</v>
      </c>
      <c r="K22" s="32"/>
      <c r="L22" s="367" t="s">
        <v>812</v>
      </c>
      <c r="M22" s="372" t="s">
        <v>813</v>
      </c>
      <c r="N22" s="373" t="s">
        <v>320</v>
      </c>
      <c r="O22" s="374" t="s">
        <v>814</v>
      </c>
      <c r="P22" s="29"/>
      <c r="R22" s="34"/>
      <c r="S22" s="36"/>
      <c r="T22" s="28"/>
      <c r="U22" s="36"/>
      <c r="V22" s="26"/>
      <c r="W22" s="38" t="s">
        <v>277</v>
      </c>
      <c r="X22" s="39">
        <f>X21/X32*X33*2</f>
        <v>1097.2211550807087</v>
      </c>
      <c r="Y22" s="138" t="s">
        <v>147</v>
      </c>
      <c r="Z22" s="128"/>
      <c r="AA22" s="3" t="s">
        <v>300</v>
      </c>
      <c r="AB22" s="28">
        <f>AB10*AB16*AB13</f>
        <v>576041.10641737201</v>
      </c>
      <c r="AC22" s="3" t="s">
        <v>299</v>
      </c>
      <c r="AD22" s="33"/>
      <c r="AE22" s="49" t="s">
        <v>321</v>
      </c>
      <c r="AF22" s="32"/>
      <c r="AG22" s="33"/>
      <c r="AH22" s="26"/>
      <c r="AI22" s="26" t="s">
        <v>320</v>
      </c>
      <c r="AJ22" s="26">
        <v>75</v>
      </c>
      <c r="AK22" s="26">
        <v>155</v>
      </c>
      <c r="AL22" s="26">
        <f>AK22-AJ22</f>
        <v>80</v>
      </c>
      <c r="AM22" s="26"/>
      <c r="AN22" s="29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2:54">
      <c r="B23" s="60" t="s">
        <v>258</v>
      </c>
      <c r="C23" s="400">
        <v>60</v>
      </c>
      <c r="D23" s="256" t="s">
        <v>638</v>
      </c>
      <c r="E23" s="260" t="s">
        <v>639</v>
      </c>
      <c r="F23" s="404">
        <v>75</v>
      </c>
      <c r="G23" s="261" t="s">
        <v>640</v>
      </c>
      <c r="H23" s="260" t="s">
        <v>644</v>
      </c>
      <c r="I23" s="404">
        <v>86</v>
      </c>
      <c r="J23" s="261" t="s">
        <v>646</v>
      </c>
      <c r="K23" s="28"/>
      <c r="L23" s="368" t="s">
        <v>810</v>
      </c>
      <c r="M23" s="28">
        <v>86.071133651817703</v>
      </c>
      <c r="N23" s="370">
        <v>83.615075250484296</v>
      </c>
      <c r="O23" s="230">
        <v>59.843762978422397</v>
      </c>
      <c r="P23" s="29"/>
      <c r="R23" s="34"/>
      <c r="S23" s="36"/>
      <c r="T23" s="28"/>
      <c r="U23" s="36"/>
      <c r="V23" s="26"/>
      <c r="W23" s="38"/>
      <c r="X23" s="39">
        <f>X22/X37</f>
        <v>1378.4185365335536</v>
      </c>
      <c r="Y23" s="138" t="s">
        <v>278</v>
      </c>
      <c r="Z23" s="128"/>
      <c r="AA23" s="3"/>
      <c r="AB23" s="28"/>
      <c r="AC23" s="3"/>
      <c r="AD23" s="33"/>
      <c r="AE23" s="49" t="s">
        <v>324</v>
      </c>
      <c r="AF23" s="32"/>
      <c r="AG23" s="33"/>
      <c r="AH23" s="26"/>
      <c r="AI23" s="26" t="s">
        <v>328</v>
      </c>
      <c r="AJ23" s="26">
        <v>75</v>
      </c>
      <c r="AK23" s="26">
        <v>78</v>
      </c>
      <c r="AL23" s="26">
        <f>AK23-AJ23</f>
        <v>3</v>
      </c>
      <c r="AM23" s="26"/>
      <c r="AN23" s="29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2:54">
      <c r="B24" s="257" t="s">
        <v>636</v>
      </c>
      <c r="C24" s="402">
        <v>70</v>
      </c>
      <c r="D24" s="258" t="s">
        <v>638</v>
      </c>
      <c r="E24" s="262" t="s">
        <v>641</v>
      </c>
      <c r="F24" s="405">
        <v>60</v>
      </c>
      <c r="G24" s="263" t="s">
        <v>638</v>
      </c>
      <c r="H24" s="262" t="s">
        <v>645</v>
      </c>
      <c r="I24" s="405">
        <v>95</v>
      </c>
      <c r="J24" s="263" t="s">
        <v>646</v>
      </c>
      <c r="K24" s="28"/>
      <c r="L24" s="369" t="s">
        <v>811</v>
      </c>
      <c r="M24" s="77">
        <v>112.68643759847485</v>
      </c>
      <c r="N24" s="371">
        <v>124.67741114608657</v>
      </c>
      <c r="O24" s="231">
        <v>171.36767472635944</v>
      </c>
      <c r="P24" s="29"/>
      <c r="R24" s="34"/>
      <c r="S24" s="36"/>
      <c r="T24" s="28"/>
      <c r="U24" s="36"/>
      <c r="V24" s="26"/>
      <c r="W24" s="8"/>
      <c r="X24" s="131">
        <f>X22*24/1000</f>
        <v>26.333307721937011</v>
      </c>
      <c r="Y24" s="8" t="s">
        <v>41</v>
      </c>
      <c r="Z24" s="128"/>
      <c r="AA24" s="3"/>
      <c r="AB24" s="28"/>
      <c r="AC24" s="3"/>
      <c r="AD24" s="33"/>
      <c r="AE24" s="42" t="s">
        <v>323</v>
      </c>
      <c r="AF24" s="41">
        <f>X21/X32*(X14/100)*X36</f>
        <v>1209.7750395347116</v>
      </c>
      <c r="AG24" s="136" t="s">
        <v>322</v>
      </c>
      <c r="AH24" s="26"/>
      <c r="AI24" s="27"/>
      <c r="AJ24" s="26"/>
      <c r="AK24" s="26"/>
      <c r="AL24" s="26"/>
      <c r="AM24" s="26"/>
      <c r="AN24" s="29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2:54" ht="15.75" thickBot="1">
      <c r="B25" s="61"/>
      <c r="C25" s="62"/>
      <c r="D25" s="62"/>
      <c r="E25" s="62"/>
      <c r="F25" s="62"/>
      <c r="G25" s="63"/>
      <c r="H25" s="62"/>
      <c r="I25" s="62"/>
      <c r="J25" s="62"/>
      <c r="K25" s="63"/>
      <c r="L25" s="377" t="s">
        <v>816</v>
      </c>
      <c r="M25" s="408">
        <v>100</v>
      </c>
      <c r="N25" s="408">
        <v>100</v>
      </c>
      <c r="O25" s="408">
        <v>100</v>
      </c>
      <c r="P25" s="64"/>
      <c r="R25" s="30" t="s">
        <v>151</v>
      </c>
      <c r="S25" s="36"/>
      <c r="T25" s="28"/>
      <c r="U25" s="36"/>
      <c r="V25" s="26"/>
      <c r="W25" s="38" t="s">
        <v>280</v>
      </c>
      <c r="X25" s="39">
        <f>X21/X32*0.01*X34</f>
        <v>4.7990028814578416</v>
      </c>
      <c r="Y25" s="138" t="s">
        <v>147</v>
      </c>
      <c r="Z25" s="128"/>
      <c r="AA25" s="36" t="s">
        <v>735</v>
      </c>
      <c r="AB25" s="28"/>
      <c r="AC25" s="3"/>
      <c r="AD25" s="33"/>
      <c r="AE25" s="8"/>
      <c r="AF25" s="222">
        <f>AF24*24/1000</f>
        <v>29.034600948833077</v>
      </c>
      <c r="AG25" s="221" t="s">
        <v>41</v>
      </c>
      <c r="AH25" s="26"/>
      <c r="AI25" s="3" t="s">
        <v>749</v>
      </c>
      <c r="AJ25" s="84">
        <f>(AM16*AL21*AJ16)+(AL22*AJ17*AM17)+(AJ18*AL23*AM18)</f>
        <v>202673.04251845152</v>
      </c>
      <c r="AK25" s="3" t="s">
        <v>330</v>
      </c>
      <c r="AL25" s="120"/>
      <c r="AM25" s="120"/>
      <c r="AN25" s="29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2:54" ht="16.5">
      <c r="N26" s="10"/>
      <c r="R26" s="34"/>
      <c r="S26" s="36" t="s">
        <v>152</v>
      </c>
      <c r="T26" s="28">
        <f>T11</f>
        <v>75</v>
      </c>
      <c r="U26" s="36" t="s">
        <v>198</v>
      </c>
      <c r="V26" s="26"/>
      <c r="W26" s="132"/>
      <c r="X26" s="39">
        <f>X25/0.96</f>
        <v>4.9989613348519182</v>
      </c>
      <c r="Y26" s="133" t="s">
        <v>282</v>
      </c>
      <c r="Z26" s="128"/>
      <c r="AA26" s="3"/>
      <c r="AB26" s="28">
        <f>AB9*AB14*AB17</f>
        <v>17559.256219999999</v>
      </c>
      <c r="AC26" s="3" t="s">
        <v>299</v>
      </c>
      <c r="AD26" s="33"/>
      <c r="AE26" s="42" t="s">
        <v>325</v>
      </c>
      <c r="AF26" s="41">
        <f>X22-(AF24/X36*X33)</f>
        <v>625.41605839600402</v>
      </c>
      <c r="AG26" s="136" t="s">
        <v>326</v>
      </c>
      <c r="AH26" s="26"/>
      <c r="AI26" s="26"/>
      <c r="AJ26" s="26">
        <f>AJ25/1000*24</f>
        <v>4864.1530204428364</v>
      </c>
      <c r="AK26" s="26" t="s">
        <v>110</v>
      </c>
      <c r="AL26" s="26"/>
      <c r="AM26" s="26"/>
      <c r="AN26" s="29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2:54" ht="16.5">
      <c r="R27" s="34"/>
      <c r="S27" s="36" t="s">
        <v>153</v>
      </c>
      <c r="T27" s="28">
        <v>20</v>
      </c>
      <c r="U27" s="36" t="s">
        <v>198</v>
      </c>
      <c r="V27" s="26"/>
      <c r="W27" s="8"/>
      <c r="X27" s="131">
        <f>-X26*24</f>
        <v>-119.97507203644604</v>
      </c>
      <c r="Y27" s="8" t="s">
        <v>20</v>
      </c>
      <c r="Z27" s="128"/>
      <c r="AA27" s="3"/>
      <c r="AB27" s="28"/>
      <c r="AC27" s="3"/>
      <c r="AD27" s="33"/>
      <c r="AE27" s="8"/>
      <c r="AF27" s="222">
        <f>AF26/X37/1000</f>
        <v>0.78569856582412556</v>
      </c>
      <c r="AG27" s="221" t="s">
        <v>113</v>
      </c>
      <c r="AH27" s="26"/>
      <c r="AI27" s="2" t="s">
        <v>742</v>
      </c>
      <c r="AJ27" s="139"/>
      <c r="AK27" s="26"/>
      <c r="AL27" s="26"/>
      <c r="AM27" s="26"/>
      <c r="AN27" s="29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2:54" ht="16.5">
      <c r="R28" s="34"/>
      <c r="S28" s="36" t="s">
        <v>154</v>
      </c>
      <c r="T28" s="28">
        <v>12</v>
      </c>
      <c r="U28" s="36" t="s">
        <v>198</v>
      </c>
      <c r="V28" s="26"/>
      <c r="W28" s="95" t="s">
        <v>283</v>
      </c>
      <c r="X28" s="39">
        <f>X18-X21-X23-X26</f>
        <v>658.35883546492767</v>
      </c>
      <c r="Y28" s="133" t="s">
        <v>287</v>
      </c>
      <c r="Z28" s="128"/>
      <c r="AA28" s="3" t="s">
        <v>757</v>
      </c>
      <c r="AB28" s="28"/>
      <c r="AC28" s="3"/>
      <c r="AD28" s="33"/>
      <c r="AE28" s="132" t="s">
        <v>226</v>
      </c>
      <c r="AF28" s="41">
        <f>X21*(1-(X14/100))</f>
        <v>120.15131333333335</v>
      </c>
      <c r="AG28" s="137" t="s">
        <v>327</v>
      </c>
      <c r="AH28" s="26"/>
      <c r="AI28" s="3" t="s">
        <v>750</v>
      </c>
      <c r="AJ28" s="26"/>
      <c r="AK28" s="26"/>
      <c r="AL28" s="26">
        <f>AM17</f>
        <v>625.41605839600402</v>
      </c>
      <c r="AM28" s="26" t="s">
        <v>223</v>
      </c>
      <c r="AN28" s="29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2:54" ht="17.25" thickBot="1">
      <c r="B29" s="17" t="s">
        <v>187</v>
      </c>
      <c r="R29" s="34"/>
      <c r="S29" s="36"/>
      <c r="T29" s="28"/>
      <c r="U29" s="36"/>
      <c r="V29" s="26"/>
      <c r="W29" s="38"/>
      <c r="X29" s="39">
        <f>X28*24/1000</f>
        <v>15.800612051158263</v>
      </c>
      <c r="Y29" s="133" t="s">
        <v>113</v>
      </c>
      <c r="Z29" s="128"/>
      <c r="AA29" s="3"/>
      <c r="AB29" s="28"/>
      <c r="AC29" s="3"/>
      <c r="AD29" s="33"/>
      <c r="AE29" s="136"/>
      <c r="AF29" s="41">
        <f>AF28*24/1000</f>
        <v>2.8836315200000002</v>
      </c>
      <c r="AG29" s="136" t="s">
        <v>41</v>
      </c>
      <c r="AH29" s="26"/>
      <c r="AI29" s="338" t="s">
        <v>751</v>
      </c>
      <c r="AJ29" s="26"/>
      <c r="AK29" s="26"/>
      <c r="AL29" s="26">
        <v>0</v>
      </c>
      <c r="AM29" s="26" t="s">
        <v>223</v>
      </c>
      <c r="AN29" s="29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2:54">
      <c r="B30" s="68"/>
      <c r="C30" s="19"/>
      <c r="D30" s="19"/>
      <c r="E30" s="19"/>
      <c r="F30" s="19"/>
      <c r="G30" s="21"/>
      <c r="H30" s="19"/>
      <c r="I30" s="19"/>
      <c r="J30" s="19"/>
      <c r="K30" s="21"/>
      <c r="L30" s="19"/>
      <c r="M30" s="19"/>
      <c r="N30" s="19"/>
      <c r="O30" s="21"/>
      <c r="P30" s="22"/>
      <c r="R30" s="34"/>
      <c r="S30" s="36" t="s">
        <v>762</v>
      </c>
      <c r="T30" s="28">
        <f>2300*0.239</f>
        <v>549.69999999999993</v>
      </c>
      <c r="U30" s="36" t="s">
        <v>159</v>
      </c>
      <c r="V30" s="26" t="s">
        <v>155</v>
      </c>
      <c r="Z30" s="130"/>
      <c r="AA30" s="3"/>
      <c r="AB30" s="28"/>
      <c r="AC30" s="3"/>
      <c r="AD30" s="26"/>
      <c r="AE30" s="49"/>
      <c r="AF30" s="49"/>
      <c r="AG30" s="32"/>
      <c r="AH30" s="26"/>
      <c r="AI30" s="26"/>
      <c r="AJ30" s="26"/>
      <c r="AK30" s="26"/>
      <c r="AL30" s="26"/>
      <c r="AM30" s="26"/>
      <c r="AN30" s="29"/>
      <c r="AR30" s="135"/>
      <c r="AS30" s="2"/>
      <c r="AT30" s="2"/>
      <c r="AU30" s="3"/>
      <c r="AV30" s="3"/>
      <c r="AW30" s="3"/>
      <c r="AX30" s="3"/>
      <c r="AY30" s="3"/>
      <c r="AZ30" s="3"/>
      <c r="BA30" s="3"/>
      <c r="BB30" s="3"/>
    </row>
    <row r="31" spans="2:54">
      <c r="B31" s="34"/>
      <c r="C31" s="26"/>
      <c r="D31" s="26"/>
      <c r="E31" s="26"/>
      <c r="F31" s="69" t="s">
        <v>1</v>
      </c>
      <c r="G31" s="70">
        <f>C7*(1-G11/100)</f>
        <v>1754.6320000000028</v>
      </c>
      <c r="H31" s="71" t="s">
        <v>4</v>
      </c>
      <c r="I31" s="26"/>
      <c r="J31" s="69"/>
      <c r="K31" s="70"/>
      <c r="L31" s="71"/>
      <c r="M31" s="26"/>
      <c r="N31" s="26"/>
      <c r="O31" s="28"/>
      <c r="P31" s="29"/>
      <c r="R31" s="34" t="s">
        <v>760</v>
      </c>
      <c r="S31" s="72" t="s">
        <v>156</v>
      </c>
      <c r="T31" s="73" t="s">
        <v>158</v>
      </c>
      <c r="U31" s="72"/>
      <c r="V31" s="73"/>
      <c r="W31" s="49" t="s">
        <v>286</v>
      </c>
      <c r="X31" s="28"/>
      <c r="Y31" s="2"/>
      <c r="Z31" s="130"/>
      <c r="AA31" s="47" t="s">
        <v>736</v>
      </c>
      <c r="AB31" s="44">
        <f>C24</f>
        <v>70</v>
      </c>
      <c r="AC31" s="47" t="s">
        <v>168</v>
      </c>
      <c r="AD31" s="26"/>
      <c r="AE31" s="26"/>
      <c r="AF31" s="26"/>
      <c r="AG31" s="26"/>
      <c r="AH31" s="26"/>
      <c r="AI31" s="26" t="s">
        <v>752</v>
      </c>
      <c r="AJ31" s="3">
        <v>0.88</v>
      </c>
      <c r="AK31" s="3" t="s">
        <v>331</v>
      </c>
      <c r="AL31" s="26"/>
      <c r="AM31" s="26"/>
      <c r="AN31" s="29"/>
    </row>
    <row r="32" spans="2:54" ht="17.25" thickBot="1">
      <c r="B32" s="34"/>
      <c r="C32" s="26"/>
      <c r="D32" s="26"/>
      <c r="E32" s="26"/>
      <c r="F32" s="74"/>
      <c r="G32" s="28">
        <f>G31/24</f>
        <v>73.109666666666783</v>
      </c>
      <c r="H32" s="75" t="s">
        <v>6</v>
      </c>
      <c r="I32" s="26"/>
      <c r="J32" s="74"/>
      <c r="K32" s="28"/>
      <c r="L32" s="75"/>
      <c r="M32" s="26"/>
      <c r="N32" s="26"/>
      <c r="O32" s="28"/>
      <c r="P32" s="29"/>
      <c r="R32" s="34" t="s">
        <v>761</v>
      </c>
      <c r="S32" s="36" t="s">
        <v>157</v>
      </c>
      <c r="T32" s="28">
        <v>1</v>
      </c>
      <c r="U32" s="36" t="s">
        <v>144</v>
      </c>
      <c r="V32" s="26"/>
      <c r="W32" s="49" t="s">
        <v>319</v>
      </c>
      <c r="X32" s="65">
        <v>72.069999999999993</v>
      </c>
      <c r="Y32" s="122" t="s">
        <v>276</v>
      </c>
      <c r="Z32" s="130"/>
      <c r="AA32" s="3" t="s">
        <v>304</v>
      </c>
      <c r="AB32" s="32">
        <f>SUM(AB21:AB22,AB26)/(AB31/100)</f>
        <v>1261786.9287676741</v>
      </c>
      <c r="AC32" s="3" t="s">
        <v>302</v>
      </c>
      <c r="AD32" s="26"/>
      <c r="AE32" s="26"/>
      <c r="AF32" s="26"/>
      <c r="AG32" s="26"/>
      <c r="AH32" s="26"/>
      <c r="AI32" s="26" t="s">
        <v>753</v>
      </c>
      <c r="AJ32" s="3">
        <v>2.2999999999999998</v>
      </c>
      <c r="AK32" s="3" t="s">
        <v>331</v>
      </c>
      <c r="AL32" s="26"/>
      <c r="AM32" s="26"/>
      <c r="AN32" s="29"/>
    </row>
    <row r="33" spans="2:40" ht="15.75" thickBot="1">
      <c r="B33" s="34"/>
      <c r="C33" s="26"/>
      <c r="D33" s="26"/>
      <c r="E33" s="26"/>
      <c r="F33" s="74" t="s">
        <v>2</v>
      </c>
      <c r="G33" s="28">
        <f>C10*(G11/100)</f>
        <v>62075.925999999992</v>
      </c>
      <c r="H33" s="75" t="s">
        <v>4</v>
      </c>
      <c r="I33" s="26"/>
      <c r="J33" s="74" t="s">
        <v>2</v>
      </c>
      <c r="K33" s="28">
        <f>K10*(K16/100)</f>
        <v>5266.9217040000085</v>
      </c>
      <c r="L33" s="75" t="s">
        <v>4</v>
      </c>
      <c r="M33" s="26"/>
      <c r="N33" s="26"/>
      <c r="O33" s="28"/>
      <c r="P33" s="29"/>
      <c r="R33" s="34"/>
      <c r="S33" s="36"/>
      <c r="T33" s="28"/>
      <c r="U33" s="36"/>
      <c r="V33" s="26"/>
      <c r="W33" s="49" t="s">
        <v>262</v>
      </c>
      <c r="X33" s="32">
        <v>46.07</v>
      </c>
      <c r="Y33" s="122" t="s">
        <v>276</v>
      </c>
      <c r="Z33" s="130"/>
      <c r="AA33" s="50" t="s">
        <v>194</v>
      </c>
      <c r="AB33" s="51">
        <f>AB32*24/1000</f>
        <v>30282.88629042418</v>
      </c>
      <c r="AC33" s="52" t="s">
        <v>110</v>
      </c>
      <c r="AD33" s="26"/>
      <c r="AE33" s="26"/>
      <c r="AF33" s="26"/>
      <c r="AG33" s="26"/>
      <c r="AH33" s="26"/>
      <c r="AI33" s="26"/>
      <c r="AJ33" s="2">
        <f>AJ13*((AM17*AJ31)+(AJ32*AM18))*1000</f>
        <v>1265842.1021935118</v>
      </c>
      <c r="AK33" s="2" t="s">
        <v>329</v>
      </c>
      <c r="AL33" s="26"/>
      <c r="AM33" s="26"/>
      <c r="AN33" s="29"/>
    </row>
    <row r="34" spans="2:40" ht="15.75" thickBot="1">
      <c r="B34" s="34"/>
      <c r="C34" s="26"/>
      <c r="D34" s="26"/>
      <c r="E34" s="26"/>
      <c r="F34" s="74"/>
      <c r="G34" s="28">
        <f>G33/24</f>
        <v>2586.4969166666665</v>
      </c>
      <c r="H34" s="75" t="s">
        <v>5</v>
      </c>
      <c r="I34" s="26"/>
      <c r="J34" s="74"/>
      <c r="K34" s="28">
        <f>K33/24</f>
        <v>219.45507100000034</v>
      </c>
      <c r="L34" s="75" t="s">
        <v>5</v>
      </c>
      <c r="M34" s="26"/>
      <c r="N34" s="26"/>
      <c r="O34" s="28"/>
      <c r="P34" s="29"/>
      <c r="R34" s="34"/>
      <c r="S34" s="36" t="s">
        <v>739</v>
      </c>
      <c r="T34" s="28">
        <f>(T26-T27)*T32+T30</f>
        <v>604.69999999999993</v>
      </c>
      <c r="U34" s="36" t="s">
        <v>160</v>
      </c>
      <c r="V34" s="26"/>
      <c r="W34" s="36" t="s">
        <v>280</v>
      </c>
      <c r="X34" s="28">
        <v>40.299999999999997</v>
      </c>
      <c r="Y34" s="36" t="s">
        <v>276</v>
      </c>
      <c r="Z34" s="130"/>
      <c r="AA34" s="36"/>
      <c r="AB34" s="28"/>
      <c r="AC34" s="36"/>
      <c r="AD34" s="26"/>
      <c r="AE34" s="26"/>
      <c r="AF34" s="26"/>
      <c r="AG34" s="26"/>
      <c r="AH34" s="26"/>
      <c r="AI34" s="50" t="s">
        <v>194</v>
      </c>
      <c r="AJ34" s="51">
        <f>AJ33*24/1000</f>
        <v>30380.210452644282</v>
      </c>
      <c r="AK34" s="52" t="s">
        <v>110</v>
      </c>
      <c r="AL34" s="26"/>
      <c r="AM34" s="26"/>
      <c r="AN34" s="29"/>
    </row>
    <row r="35" spans="2:40">
      <c r="B35" s="34"/>
      <c r="C35" s="26"/>
      <c r="D35" s="26"/>
      <c r="E35" s="26"/>
      <c r="F35" s="76" t="s">
        <v>25</v>
      </c>
      <c r="G35" s="77">
        <f>G10</f>
        <v>20209.2</v>
      </c>
      <c r="H35" s="78" t="s">
        <v>20</v>
      </c>
      <c r="I35" s="26"/>
      <c r="J35" s="76" t="s">
        <v>30</v>
      </c>
      <c r="K35" s="77">
        <f>K13</f>
        <v>20597.367999999999</v>
      </c>
      <c r="L35" s="78" t="s">
        <v>20</v>
      </c>
      <c r="M35" s="26"/>
      <c r="N35" s="26"/>
      <c r="O35" s="28"/>
      <c r="P35" s="29"/>
      <c r="R35" s="34"/>
      <c r="S35" s="36" t="s">
        <v>161</v>
      </c>
      <c r="T35" s="28">
        <f>T34*T9</f>
        <v>1370075.1272559997</v>
      </c>
      <c r="U35" s="36" t="s">
        <v>103</v>
      </c>
      <c r="V35" s="26"/>
      <c r="W35" s="36" t="s">
        <v>281</v>
      </c>
      <c r="X35" s="32">
        <v>24.31</v>
      </c>
      <c r="Y35" s="36" t="s">
        <v>276</v>
      </c>
      <c r="Z35" s="130"/>
      <c r="AA35" s="36"/>
      <c r="AB35" s="28"/>
      <c r="AC35" s="3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9"/>
    </row>
    <row r="36" spans="2:40">
      <c r="B36" s="34"/>
      <c r="C36" s="26"/>
      <c r="D36" s="26"/>
      <c r="E36" s="26"/>
      <c r="F36" s="26" t="s">
        <v>776</v>
      </c>
      <c r="G36" s="96">
        <f>G31/(G31+G33)</f>
        <v>2.7488902729003291E-2</v>
      </c>
      <c r="H36" s="26" t="s">
        <v>787</v>
      </c>
      <c r="I36" s="26"/>
      <c r="J36" s="26"/>
      <c r="K36" s="28"/>
      <c r="L36" s="26"/>
      <c r="M36" s="26"/>
      <c r="N36" s="26"/>
      <c r="O36" s="28"/>
      <c r="P36" s="29"/>
      <c r="R36" s="34"/>
      <c r="S36" s="47" t="s">
        <v>661</v>
      </c>
      <c r="T36" s="44">
        <f>C22</f>
        <v>60</v>
      </c>
      <c r="U36" s="43" t="s">
        <v>12</v>
      </c>
      <c r="V36" s="26"/>
      <c r="W36" s="36" t="s">
        <v>320</v>
      </c>
      <c r="X36" s="28">
        <v>118.13</v>
      </c>
      <c r="Y36" s="36" t="s">
        <v>276</v>
      </c>
      <c r="Z36" s="130"/>
      <c r="AA36" s="36"/>
      <c r="AB36" s="28"/>
      <c r="AC36" s="26"/>
      <c r="AD36" s="26"/>
      <c r="AE36" s="26"/>
      <c r="AF36" s="26"/>
      <c r="AG36" s="26"/>
      <c r="AH36" s="26"/>
      <c r="AI36" s="27" t="s">
        <v>755</v>
      </c>
      <c r="AJ36" s="26"/>
      <c r="AK36" s="26"/>
      <c r="AL36" s="26"/>
      <c r="AM36" s="26"/>
      <c r="AN36" s="29"/>
    </row>
    <row r="37" spans="2:40" ht="15.75" thickBot="1">
      <c r="B37" s="34"/>
      <c r="C37" s="26"/>
      <c r="D37" s="26"/>
      <c r="E37" s="26"/>
      <c r="F37" s="26" t="s">
        <v>777</v>
      </c>
      <c r="G37" s="96">
        <f>G33/(G31+G33)</f>
        <v>0.97251109727099672</v>
      </c>
      <c r="H37" s="26" t="s">
        <v>787</v>
      </c>
      <c r="I37" s="26"/>
      <c r="J37" s="26"/>
      <c r="K37" s="28"/>
      <c r="L37" s="26"/>
      <c r="M37" s="26"/>
      <c r="N37" s="26"/>
      <c r="O37" s="28"/>
      <c r="P37" s="29"/>
      <c r="R37" s="34"/>
      <c r="S37" s="49" t="s">
        <v>763</v>
      </c>
      <c r="T37" s="32">
        <f>T35/(T36/100)</f>
        <v>2283458.5454266663</v>
      </c>
      <c r="U37" s="49" t="s">
        <v>103</v>
      </c>
      <c r="V37" s="26"/>
      <c r="W37" s="49" t="s">
        <v>279</v>
      </c>
      <c r="X37" s="32">
        <v>0.79600000000000004</v>
      </c>
      <c r="Y37" s="127" t="s">
        <v>261</v>
      </c>
      <c r="Z37" s="130"/>
      <c r="AA37" s="36"/>
      <c r="AB37" s="28"/>
      <c r="AC37" s="26"/>
      <c r="AD37" s="26"/>
      <c r="AE37" s="26"/>
      <c r="AF37" s="26"/>
      <c r="AG37" s="26"/>
      <c r="AH37" s="26"/>
      <c r="AI37" s="3" t="s">
        <v>754</v>
      </c>
      <c r="AJ37" s="26"/>
      <c r="AK37" s="26"/>
      <c r="AL37" s="26"/>
      <c r="AM37" s="26"/>
      <c r="AN37" s="29"/>
    </row>
    <row r="38" spans="2:40" ht="15.75" thickBot="1">
      <c r="B38" s="34"/>
      <c r="C38" s="26"/>
      <c r="D38" s="26"/>
      <c r="E38" s="26"/>
      <c r="F38" s="69"/>
      <c r="G38" s="70"/>
      <c r="H38" s="79"/>
      <c r="I38" s="79"/>
      <c r="J38" s="79" t="s">
        <v>34</v>
      </c>
      <c r="K38" s="70"/>
      <c r="L38" s="79"/>
      <c r="M38" s="74"/>
      <c r="N38" s="26"/>
      <c r="O38" s="28"/>
      <c r="P38" s="29"/>
      <c r="Q38" s="26"/>
      <c r="R38" s="34"/>
      <c r="S38" s="50" t="s">
        <v>161</v>
      </c>
      <c r="T38" s="51">
        <f>T37*0.004184</f>
        <v>9553.9905540651725</v>
      </c>
      <c r="U38" s="58" t="s">
        <v>109</v>
      </c>
      <c r="V38" s="26"/>
      <c r="W38" s="36"/>
      <c r="X38" s="28"/>
      <c r="Y38" s="130"/>
      <c r="Z38" s="130"/>
      <c r="AA38" s="36"/>
      <c r="AB38" s="28"/>
      <c r="AC38" s="26"/>
      <c r="AD38" s="26"/>
      <c r="AE38" s="26"/>
      <c r="AF38" s="26"/>
      <c r="AG38" s="26"/>
      <c r="AH38" s="26"/>
      <c r="AI38" s="3" t="s">
        <v>332</v>
      </c>
      <c r="AJ38" s="3">
        <v>4.18</v>
      </c>
      <c r="AK38" s="3" t="s">
        <v>333</v>
      </c>
      <c r="AL38" s="3"/>
      <c r="AM38" s="26"/>
      <c r="AN38" s="29"/>
    </row>
    <row r="39" spans="2:40">
      <c r="B39" s="34"/>
      <c r="C39" s="26"/>
      <c r="D39" s="26"/>
      <c r="E39" s="26"/>
      <c r="F39" s="74" t="s">
        <v>33</v>
      </c>
      <c r="G39" s="28">
        <f>G31</f>
        <v>1754.6320000000028</v>
      </c>
      <c r="H39" s="26" t="s">
        <v>4</v>
      </c>
      <c r="I39" s="26"/>
      <c r="J39" s="28">
        <f>G39*C13</f>
        <v>2333.6605600000039</v>
      </c>
      <c r="K39" s="28" t="s">
        <v>38</v>
      </c>
      <c r="L39" s="26"/>
      <c r="M39" s="74"/>
      <c r="N39" s="26"/>
      <c r="O39" s="28"/>
      <c r="P39" s="29"/>
      <c r="Q39" s="26"/>
      <c r="R39" s="34"/>
      <c r="S39" s="36"/>
      <c r="T39" s="28"/>
      <c r="U39" s="36"/>
      <c r="V39" s="26"/>
      <c r="W39" s="36"/>
      <c r="X39" s="28"/>
      <c r="Y39" s="130"/>
      <c r="Z39" s="130"/>
      <c r="AA39" s="36"/>
      <c r="AB39" s="28"/>
      <c r="AC39" s="26"/>
      <c r="AD39" s="26"/>
      <c r="AE39" s="26"/>
      <c r="AF39" s="26"/>
      <c r="AG39" s="26"/>
      <c r="AH39" s="26"/>
      <c r="AI39" s="338" t="s">
        <v>756</v>
      </c>
      <c r="AJ39" s="28">
        <v>0.05</v>
      </c>
      <c r="AK39" s="3" t="s">
        <v>334</v>
      </c>
      <c r="AL39" s="3"/>
      <c r="AM39" s="26"/>
      <c r="AN39" s="29"/>
    </row>
    <row r="40" spans="2:40">
      <c r="B40" s="34"/>
      <c r="C40" s="26"/>
      <c r="D40" s="26"/>
      <c r="E40" s="26"/>
      <c r="F40" s="74"/>
      <c r="G40" s="28">
        <f>G39/24</f>
        <v>73.109666666666783</v>
      </c>
      <c r="H40" s="26" t="s">
        <v>5</v>
      </c>
      <c r="I40" s="26"/>
      <c r="J40" s="28">
        <f>J39/1000</f>
        <v>2.3336605600000038</v>
      </c>
      <c r="K40" s="28" t="s">
        <v>42</v>
      </c>
      <c r="L40" s="26"/>
      <c r="M40" s="74"/>
      <c r="N40" s="26"/>
      <c r="O40" s="28"/>
      <c r="P40" s="29"/>
      <c r="Q40" s="26"/>
      <c r="R40" s="34"/>
      <c r="S40" s="36"/>
      <c r="T40" s="28"/>
      <c r="U40" s="36"/>
      <c r="V40" s="26"/>
      <c r="W40" s="36"/>
      <c r="X40" s="28"/>
      <c r="Y40" s="26"/>
      <c r="Z40" s="26"/>
      <c r="AA40" s="36"/>
      <c r="AB40" s="28"/>
      <c r="AC40" s="26"/>
      <c r="AD40" s="26"/>
      <c r="AE40" s="26"/>
      <c r="AF40" s="26"/>
      <c r="AG40" s="26"/>
      <c r="AH40" s="26"/>
      <c r="AI40" s="3"/>
      <c r="AJ40" s="28">
        <f>AJ33/3600*AJ39</f>
        <v>17.581140308243221</v>
      </c>
      <c r="AK40" s="3" t="s">
        <v>335</v>
      </c>
      <c r="AL40" s="3"/>
      <c r="AM40" s="26"/>
      <c r="AN40" s="29"/>
    </row>
    <row r="41" spans="2:40" ht="15.75" thickBot="1">
      <c r="B41" s="34"/>
      <c r="C41" s="26"/>
      <c r="D41" s="26"/>
      <c r="E41" s="26"/>
      <c r="F41" s="74" t="s">
        <v>36</v>
      </c>
      <c r="G41" s="28">
        <f>G33+K33</f>
        <v>67342.847704</v>
      </c>
      <c r="H41" s="26" t="s">
        <v>4</v>
      </c>
      <c r="I41" s="26"/>
      <c r="J41" s="28">
        <f>G41*C14</f>
        <v>58588.277502479999</v>
      </c>
      <c r="K41" s="28" t="s">
        <v>38</v>
      </c>
      <c r="L41" s="26"/>
      <c r="M41" s="74"/>
      <c r="N41" s="26"/>
      <c r="O41" s="28"/>
      <c r="P41" s="29"/>
      <c r="Q41" s="26"/>
      <c r="R41" s="34"/>
      <c r="S41" s="26"/>
      <c r="T41" s="28"/>
      <c r="U41" s="26"/>
      <c r="V41" s="26"/>
      <c r="W41" s="26"/>
      <c r="X41" s="28"/>
      <c r="Y41" s="26"/>
      <c r="Z41" s="26"/>
      <c r="AA41" s="26"/>
      <c r="AB41" s="28"/>
      <c r="AC41" s="26"/>
      <c r="AD41" s="26"/>
      <c r="AE41" s="26"/>
      <c r="AF41" s="26"/>
      <c r="AG41" s="26"/>
      <c r="AH41" s="26"/>
      <c r="AI41" s="47" t="s">
        <v>661</v>
      </c>
      <c r="AJ41" s="44">
        <f>C22</f>
        <v>60</v>
      </c>
      <c r="AK41" s="47" t="s">
        <v>168</v>
      </c>
      <c r="AL41" s="26"/>
      <c r="AM41" s="26"/>
      <c r="AN41" s="29"/>
    </row>
    <row r="42" spans="2:40" ht="15.75" thickBot="1">
      <c r="B42" s="34"/>
      <c r="C42" s="26"/>
      <c r="D42" s="26"/>
      <c r="E42" s="26"/>
      <c r="F42" s="74"/>
      <c r="G42" s="28">
        <f>G41/24</f>
        <v>2805.9519876666668</v>
      </c>
      <c r="H42" s="26" t="s">
        <v>5</v>
      </c>
      <c r="I42" s="26"/>
      <c r="J42" s="28">
        <f>J41/1000</f>
        <v>58.588277502479997</v>
      </c>
      <c r="K42" s="28" t="s">
        <v>42</v>
      </c>
      <c r="L42" s="26"/>
      <c r="M42" s="74"/>
      <c r="N42" s="26"/>
      <c r="O42" s="28"/>
      <c r="P42" s="29"/>
      <c r="Q42" s="26"/>
      <c r="R42" s="34"/>
      <c r="S42" s="26"/>
      <c r="T42" s="28"/>
      <c r="U42" s="26"/>
      <c r="V42" s="26"/>
      <c r="W42" s="26"/>
      <c r="X42" s="28"/>
      <c r="Y42" s="26"/>
      <c r="Z42" s="26"/>
      <c r="AA42" s="26"/>
      <c r="AB42" s="28"/>
      <c r="AC42" s="26"/>
      <c r="AD42" s="26"/>
      <c r="AE42" s="26"/>
      <c r="AF42" s="26"/>
      <c r="AG42" s="26"/>
      <c r="AH42" s="26"/>
      <c r="AI42" s="50" t="s">
        <v>161</v>
      </c>
      <c r="AJ42" s="51">
        <f>AJ40*3.6*24/(AJ41/100)</f>
        <v>2531.6842043870242</v>
      </c>
      <c r="AK42" s="52" t="s">
        <v>110</v>
      </c>
      <c r="AL42" s="26"/>
      <c r="AM42" s="26"/>
      <c r="AN42" s="29"/>
    </row>
    <row r="43" spans="2:40">
      <c r="B43" s="34"/>
      <c r="C43" s="26"/>
      <c r="D43" s="26"/>
      <c r="E43" s="26"/>
      <c r="F43" s="74" t="s">
        <v>37</v>
      </c>
      <c r="G43" s="28">
        <f>G35+K35</f>
        <v>40806.567999999999</v>
      </c>
      <c r="H43" s="26" t="s">
        <v>20</v>
      </c>
      <c r="I43" s="26"/>
      <c r="J43" s="28"/>
      <c r="K43" s="28"/>
      <c r="L43" s="26"/>
      <c r="M43" s="74"/>
      <c r="N43" s="26"/>
      <c r="O43" s="28"/>
      <c r="P43" s="29"/>
      <c r="Q43" s="26"/>
      <c r="R43" s="34"/>
      <c r="S43" s="26"/>
      <c r="T43" s="28"/>
      <c r="U43" s="26"/>
      <c r="V43" s="26"/>
      <c r="W43" s="26"/>
      <c r="X43" s="28"/>
      <c r="Y43" s="26"/>
      <c r="Z43" s="26"/>
      <c r="AA43" s="26"/>
      <c r="AB43" s="28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9"/>
    </row>
    <row r="44" spans="2:40">
      <c r="B44" s="34"/>
      <c r="C44" s="26"/>
      <c r="D44" s="26"/>
      <c r="E44" s="26"/>
      <c r="F44" s="74"/>
      <c r="G44" s="28"/>
      <c r="H44" s="26"/>
      <c r="I44" s="26"/>
      <c r="J44" s="26"/>
      <c r="K44" s="28"/>
      <c r="L44" s="26"/>
      <c r="M44" s="74"/>
      <c r="N44" s="26"/>
      <c r="O44" s="28"/>
      <c r="P44" s="29"/>
      <c r="Q44" s="26"/>
      <c r="R44" s="34"/>
      <c r="S44" s="26"/>
      <c r="T44" s="28"/>
      <c r="U44" s="26"/>
      <c r="V44" s="26"/>
      <c r="W44" s="26"/>
      <c r="X44" s="28"/>
      <c r="Y44" s="26"/>
      <c r="Z44" s="26"/>
      <c r="AA44" s="26"/>
      <c r="AB44" s="28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9"/>
    </row>
    <row r="45" spans="2:40">
      <c r="B45" s="34"/>
      <c r="C45" s="26"/>
      <c r="D45" s="26"/>
      <c r="E45" s="26"/>
      <c r="F45" s="74"/>
      <c r="G45" s="28"/>
      <c r="H45" s="26"/>
      <c r="I45" s="26"/>
      <c r="J45" s="26"/>
      <c r="K45" s="28"/>
      <c r="L45" s="26"/>
      <c r="M45" s="74"/>
      <c r="N45" s="26"/>
      <c r="O45" s="28"/>
      <c r="P45" s="29"/>
      <c r="Q45" s="26"/>
      <c r="R45" s="34"/>
      <c r="S45" s="26"/>
      <c r="T45" s="28"/>
      <c r="U45" s="26"/>
      <c r="V45" s="26"/>
      <c r="W45" s="26"/>
      <c r="X45" s="28"/>
      <c r="Y45" s="26"/>
      <c r="Z45" s="26"/>
      <c r="AA45" s="26"/>
      <c r="AB45" s="28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9"/>
    </row>
    <row r="46" spans="2:40">
      <c r="B46" s="34"/>
      <c r="C46" s="26"/>
      <c r="D46" s="26"/>
      <c r="E46" s="26"/>
      <c r="F46" s="74" t="s">
        <v>35</v>
      </c>
      <c r="G46" s="28">
        <f>SUM(G39+G41+G43)</f>
        <v>109904.047704</v>
      </c>
      <c r="H46" s="26" t="s">
        <v>20</v>
      </c>
      <c r="I46" s="26"/>
      <c r="J46" s="26"/>
      <c r="K46" s="28"/>
      <c r="L46" s="26"/>
      <c r="M46" s="74"/>
      <c r="N46" s="26"/>
      <c r="O46" s="28"/>
      <c r="P46" s="29"/>
      <c r="Q46" s="26"/>
      <c r="R46" s="34"/>
      <c r="S46" s="26"/>
      <c r="T46" s="28"/>
      <c r="U46" s="26"/>
      <c r="V46" s="26"/>
      <c r="W46" s="26"/>
      <c r="X46" s="28"/>
      <c r="Y46" s="26"/>
      <c r="Z46" s="26"/>
      <c r="AA46" s="26"/>
      <c r="AB46" s="28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9"/>
    </row>
    <row r="47" spans="2:40">
      <c r="B47" s="34"/>
      <c r="C47" s="26"/>
      <c r="D47" s="26"/>
      <c r="E47" s="26"/>
      <c r="F47" s="76"/>
      <c r="G47" s="77">
        <f>G46/1000</f>
        <v>109.90404770399999</v>
      </c>
      <c r="H47" s="81" t="s">
        <v>41</v>
      </c>
      <c r="I47" s="81"/>
      <c r="J47" s="81"/>
      <c r="K47" s="77"/>
      <c r="L47" s="81"/>
      <c r="M47" s="74"/>
      <c r="N47" s="26"/>
      <c r="O47" s="28"/>
      <c r="P47" s="29"/>
      <c r="Q47" s="26"/>
      <c r="R47" s="34"/>
      <c r="S47" s="26"/>
      <c r="T47" s="28"/>
      <c r="U47" s="26"/>
      <c r="V47" s="26"/>
      <c r="W47" s="26"/>
      <c r="X47" s="28"/>
      <c r="Y47" s="26"/>
      <c r="Z47" s="26"/>
      <c r="AA47" s="26"/>
      <c r="AB47" s="28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9"/>
    </row>
    <row r="48" spans="2:40">
      <c r="B48" s="34"/>
      <c r="C48" s="26"/>
      <c r="D48" s="26"/>
      <c r="E48" s="26"/>
      <c r="F48" s="26"/>
      <c r="G48" s="28"/>
      <c r="H48" s="26"/>
      <c r="I48" s="26"/>
      <c r="J48" s="26"/>
      <c r="K48" s="28"/>
      <c r="L48" s="26"/>
      <c r="M48" s="26"/>
      <c r="N48" s="26"/>
      <c r="O48" s="28"/>
      <c r="P48" s="29"/>
      <c r="R48" s="34"/>
      <c r="S48" s="26"/>
      <c r="T48" s="28"/>
      <c r="U48" s="26"/>
      <c r="V48" s="26"/>
      <c r="W48" s="26"/>
      <c r="X48" s="28"/>
      <c r="Y48" s="26"/>
      <c r="Z48" s="26"/>
      <c r="AA48" s="26"/>
      <c r="AB48" s="28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9"/>
    </row>
    <row r="49" spans="2:40" ht="15.75" thickBot="1">
      <c r="B49" s="61"/>
      <c r="C49" s="62"/>
      <c r="D49" s="62"/>
      <c r="E49" s="62"/>
      <c r="F49" s="62"/>
      <c r="G49" s="63"/>
      <c r="H49" s="62"/>
      <c r="I49" s="62"/>
      <c r="J49" s="62"/>
      <c r="K49" s="63"/>
      <c r="L49" s="62"/>
      <c r="M49" s="62"/>
      <c r="N49" s="62"/>
      <c r="O49" s="63"/>
      <c r="P49" s="64"/>
      <c r="R49" s="61"/>
      <c r="S49" s="62"/>
      <c r="T49" s="63"/>
      <c r="U49" s="62"/>
      <c r="V49" s="62"/>
      <c r="W49" s="62"/>
      <c r="X49" s="63"/>
      <c r="Y49" s="62"/>
      <c r="Z49" s="62"/>
      <c r="AA49" s="62"/>
      <c r="AB49" s="63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4"/>
    </row>
    <row r="51" spans="2:40" ht="15.75" thickBot="1">
      <c r="B51" s="17" t="s">
        <v>190</v>
      </c>
    </row>
    <row r="52" spans="2:40">
      <c r="B52" s="23" t="s">
        <v>43</v>
      </c>
      <c r="C52" s="21"/>
      <c r="D52" s="19"/>
      <c r="E52" s="19"/>
      <c r="F52" s="19"/>
      <c r="G52" s="21"/>
      <c r="H52" s="19"/>
      <c r="I52" s="19"/>
      <c r="J52" s="19"/>
      <c r="K52" s="21"/>
      <c r="L52" s="19"/>
      <c r="M52" s="19"/>
      <c r="N52" s="19"/>
      <c r="O52" s="19"/>
      <c r="P52" s="21"/>
      <c r="Q52" s="19"/>
      <c r="R52" s="19"/>
      <c r="S52" s="19"/>
      <c r="T52" s="21"/>
      <c r="U52" s="19"/>
      <c r="V52" s="19"/>
      <c r="W52" s="19"/>
      <c r="X52" s="21"/>
      <c r="Y52" s="19"/>
      <c r="Z52" s="19"/>
      <c r="AA52" s="19"/>
      <c r="AB52" s="19"/>
      <c r="AC52" s="19"/>
      <c r="AD52" s="19"/>
      <c r="AE52" s="19"/>
      <c r="AF52" s="22"/>
      <c r="AH52" s="23" t="s">
        <v>819</v>
      </c>
      <c r="AI52" s="19"/>
      <c r="AJ52" s="19"/>
      <c r="AK52" s="19"/>
      <c r="AL52" s="19"/>
      <c r="AM52" s="19"/>
      <c r="AN52" s="22"/>
    </row>
    <row r="53" spans="2:40" ht="18">
      <c r="B53" s="30" t="s">
        <v>57</v>
      </c>
      <c r="C53" s="28"/>
      <c r="D53" s="26"/>
      <c r="E53" s="26"/>
      <c r="F53" s="26"/>
      <c r="G53" s="28"/>
      <c r="H53" s="27" t="s">
        <v>67</v>
      </c>
      <c r="I53" s="26"/>
      <c r="J53" s="26"/>
      <c r="K53" s="28"/>
      <c r="L53" s="26"/>
      <c r="M53" s="26"/>
      <c r="N53" s="26"/>
      <c r="O53" s="26"/>
      <c r="P53" s="28"/>
      <c r="Q53" s="26"/>
      <c r="R53" s="26"/>
      <c r="S53" s="26"/>
      <c r="T53" s="28"/>
      <c r="U53" s="26"/>
      <c r="V53" s="27" t="s">
        <v>73</v>
      </c>
      <c r="W53" s="26"/>
      <c r="X53" s="26"/>
      <c r="Y53" s="26"/>
      <c r="Z53" s="26"/>
      <c r="AA53" s="26"/>
      <c r="AB53" s="26"/>
      <c r="AC53" s="26"/>
      <c r="AD53" s="26"/>
      <c r="AE53" s="26"/>
      <c r="AF53" s="29"/>
      <c r="AH53" s="349" t="s">
        <v>767</v>
      </c>
      <c r="AI53" s="291"/>
      <c r="AJ53" s="347" t="s">
        <v>766</v>
      </c>
      <c r="AK53" s="348" t="s">
        <v>764</v>
      </c>
      <c r="AL53" s="26" t="s">
        <v>212</v>
      </c>
      <c r="AM53" s="26"/>
      <c r="AN53" s="29"/>
    </row>
    <row r="54" spans="2:40">
      <c r="B54" s="34"/>
      <c r="C54" s="28"/>
      <c r="D54" s="26"/>
      <c r="E54" s="26"/>
      <c r="F54" s="26"/>
      <c r="G54" s="28"/>
      <c r="H54" s="27" t="s">
        <v>58</v>
      </c>
      <c r="I54" s="26"/>
      <c r="J54" s="26"/>
      <c r="K54" s="28"/>
      <c r="L54" s="27" t="s">
        <v>63</v>
      </c>
      <c r="M54" s="26"/>
      <c r="N54" s="26"/>
      <c r="O54" s="26"/>
      <c r="P54" s="27" t="s">
        <v>68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9"/>
      <c r="AH54" s="339" t="s">
        <v>114</v>
      </c>
      <c r="AI54" s="79"/>
      <c r="AJ54" s="431">
        <f>W59</f>
        <v>13670.598083912</v>
      </c>
      <c r="AK54" s="341" t="s">
        <v>113</v>
      </c>
      <c r="AL54" s="26"/>
      <c r="AM54" s="26"/>
      <c r="AN54" s="29"/>
    </row>
    <row r="55" spans="2:40">
      <c r="B55" s="307" t="s">
        <v>681</v>
      </c>
      <c r="C55" s="28"/>
      <c r="D55" s="3"/>
      <c r="E55" s="3"/>
      <c r="F55" s="3"/>
      <c r="G55" s="28"/>
      <c r="H55" s="26"/>
      <c r="I55" s="26"/>
      <c r="J55" s="26"/>
      <c r="K55" s="28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45" t="s">
        <v>74</v>
      </c>
      <c r="W55" s="44">
        <f>F23</f>
        <v>75</v>
      </c>
      <c r="X55" s="43" t="s">
        <v>11</v>
      </c>
      <c r="Y55" s="26"/>
      <c r="Z55" s="26"/>
      <c r="AA55" s="26"/>
      <c r="AB55" s="26"/>
      <c r="AC55" s="26"/>
      <c r="AD55" s="26"/>
      <c r="AE55" s="26"/>
      <c r="AF55" s="29"/>
      <c r="AH55" s="25" t="s">
        <v>115</v>
      </c>
      <c r="AI55" s="26"/>
      <c r="AJ55" s="422">
        <f>W58</f>
        <v>20505.897125867999</v>
      </c>
      <c r="AK55" s="342" t="s">
        <v>113</v>
      </c>
      <c r="AL55" s="26"/>
      <c r="AM55" s="26"/>
      <c r="AN55" s="29"/>
    </row>
    <row r="56" spans="2:40" ht="16.5">
      <c r="B56" s="82" t="s">
        <v>44</v>
      </c>
      <c r="C56" s="28">
        <f>G47</f>
        <v>109.90404770399999</v>
      </c>
      <c r="D56" s="36" t="s">
        <v>41</v>
      </c>
      <c r="E56" s="3"/>
      <c r="F56" s="3"/>
      <c r="G56" s="28"/>
      <c r="H56" s="3" t="s">
        <v>59</v>
      </c>
      <c r="I56" s="28">
        <v>37</v>
      </c>
      <c r="J56" s="3"/>
      <c r="K56" s="28"/>
      <c r="L56" s="3" t="s">
        <v>66</v>
      </c>
      <c r="M56" s="28">
        <v>1000</v>
      </c>
      <c r="N56" s="3" t="s">
        <v>64</v>
      </c>
      <c r="O56" s="26"/>
      <c r="P56" s="3" t="s">
        <v>72</v>
      </c>
      <c r="Q56" s="6">
        <f>C60*0.004</f>
        <v>15.200000000000001</v>
      </c>
      <c r="R56" s="2" t="s">
        <v>69</v>
      </c>
      <c r="S56" s="3" t="s">
        <v>70</v>
      </c>
      <c r="T56" s="26"/>
      <c r="U56" s="26"/>
      <c r="V56" s="26" t="s">
        <v>78</v>
      </c>
      <c r="W56" s="28">
        <v>350</v>
      </c>
      <c r="X56" s="36" t="s">
        <v>79</v>
      </c>
      <c r="Y56" s="26"/>
      <c r="Z56" s="26"/>
      <c r="AA56" s="26"/>
      <c r="AB56" s="26"/>
      <c r="AC56" s="26"/>
      <c r="AD56" s="26"/>
      <c r="AE56" s="26"/>
      <c r="AF56" s="29"/>
      <c r="AH56" s="25" t="s">
        <v>210</v>
      </c>
      <c r="AI56" s="26" t="s">
        <v>1</v>
      </c>
      <c r="AJ56" s="421">
        <f>U90*AL56</f>
        <v>636.80627532625294</v>
      </c>
      <c r="AK56" s="342" t="s">
        <v>113</v>
      </c>
      <c r="AL56" s="84">
        <f>717.51/AL61</f>
        <v>362.9286798179059</v>
      </c>
      <c r="AM56" s="3" t="s">
        <v>337</v>
      </c>
      <c r="AN56" s="29"/>
    </row>
    <row r="57" spans="2:40">
      <c r="B57" s="82" t="s">
        <v>45</v>
      </c>
      <c r="C57" s="28">
        <v>30</v>
      </c>
      <c r="D57" s="3" t="s">
        <v>46</v>
      </c>
      <c r="E57" s="3"/>
      <c r="F57" s="3"/>
      <c r="G57" s="28"/>
      <c r="H57" s="3" t="s">
        <v>60</v>
      </c>
      <c r="I57" s="28">
        <v>12.5</v>
      </c>
      <c r="J57" s="3"/>
      <c r="K57" s="28"/>
      <c r="L57" s="2" t="s">
        <v>71</v>
      </c>
      <c r="M57" s="6">
        <f>G47*M56</f>
        <v>109904.047704</v>
      </c>
      <c r="N57" s="2" t="s">
        <v>65</v>
      </c>
      <c r="O57" s="26"/>
      <c r="P57" s="26"/>
      <c r="Q57" s="6">
        <f>Q56*3.6</f>
        <v>54.720000000000006</v>
      </c>
      <c r="R57" s="35" t="s">
        <v>109</v>
      </c>
      <c r="S57" s="26"/>
      <c r="T57" s="26"/>
      <c r="U57" s="26"/>
      <c r="V57" s="45" t="s">
        <v>75</v>
      </c>
      <c r="W57" s="44">
        <f>F24</f>
        <v>60</v>
      </c>
      <c r="X57" s="43" t="s">
        <v>11</v>
      </c>
      <c r="Y57" s="26"/>
      <c r="Z57" s="26"/>
      <c r="AA57" s="26"/>
      <c r="AB57" s="26"/>
      <c r="AC57" s="26"/>
      <c r="AD57" s="26"/>
      <c r="AE57" s="26"/>
      <c r="AF57" s="29"/>
      <c r="AH57" s="25"/>
      <c r="AI57" s="26" t="s">
        <v>211</v>
      </c>
      <c r="AJ57" s="421">
        <f>U89*AL56</f>
        <v>24871.080418698763</v>
      </c>
      <c r="AK57" s="342" t="s">
        <v>113</v>
      </c>
      <c r="AL57" s="26"/>
      <c r="AM57" s="26"/>
      <c r="AN57" s="29"/>
    </row>
    <row r="58" spans="2:40" ht="15.75" thickBot="1">
      <c r="B58" s="82" t="s">
        <v>47</v>
      </c>
      <c r="C58" s="28">
        <f>C56*C57</f>
        <v>3297.1214311199997</v>
      </c>
      <c r="D58" s="3"/>
      <c r="E58" s="3"/>
      <c r="F58" s="3"/>
      <c r="G58" s="28"/>
      <c r="H58" s="3" t="s">
        <v>202</v>
      </c>
      <c r="I58" s="28">
        <f>I56-I57</f>
        <v>24.5</v>
      </c>
      <c r="J58" s="3"/>
      <c r="K58" s="28"/>
      <c r="L58" s="36"/>
      <c r="M58" s="6">
        <f>M57*0.004184</f>
        <v>459.83853559353599</v>
      </c>
      <c r="N58" s="2" t="s">
        <v>109</v>
      </c>
      <c r="O58" s="26"/>
      <c r="P58" s="47" t="s">
        <v>678</v>
      </c>
      <c r="Q58" s="44">
        <f>C21</f>
        <v>1.3</v>
      </c>
      <c r="R58" s="43"/>
      <c r="S58" s="26"/>
      <c r="T58" s="26"/>
      <c r="U58" s="26"/>
      <c r="V58" s="26" t="s">
        <v>76</v>
      </c>
      <c r="W58" s="28">
        <f>W56*J42</f>
        <v>20505.897125867999</v>
      </c>
      <c r="X58" s="36" t="s">
        <v>54</v>
      </c>
      <c r="Y58" s="26"/>
      <c r="Z58" s="26"/>
      <c r="AA58" s="26"/>
      <c r="AB58" s="26"/>
      <c r="AC58" s="26"/>
      <c r="AD58" s="26"/>
      <c r="AE58" s="26"/>
      <c r="AF58" s="29"/>
      <c r="AH58" s="343" t="s">
        <v>213</v>
      </c>
      <c r="AI58" s="81"/>
      <c r="AJ58" s="423">
        <f>U85*AL58</f>
        <v>10.464140235786337</v>
      </c>
      <c r="AK58" s="345" t="s">
        <v>113</v>
      </c>
      <c r="AL58" s="97">
        <f>0.5/AL61</f>
        <v>0.25290844714213456</v>
      </c>
      <c r="AM58" s="26" t="s">
        <v>214</v>
      </c>
      <c r="AN58" s="29"/>
    </row>
    <row r="59" spans="2:40" ht="15.75" thickBot="1">
      <c r="B59" s="82" t="s">
        <v>55</v>
      </c>
      <c r="C59" s="28">
        <f>C58*0.15+C58</f>
        <v>3791.6896457879998</v>
      </c>
      <c r="D59" s="36"/>
      <c r="E59" s="26"/>
      <c r="F59" s="3"/>
      <c r="G59" s="28"/>
      <c r="H59" s="2" t="s">
        <v>61</v>
      </c>
      <c r="I59" s="6">
        <f>I58*C63*0.034*24</f>
        <v>27422.33396387516</v>
      </c>
      <c r="J59" s="2" t="s">
        <v>62</v>
      </c>
      <c r="K59" s="28"/>
      <c r="L59" s="47" t="s">
        <v>678</v>
      </c>
      <c r="M59" s="44">
        <f>C21</f>
        <v>1.3</v>
      </c>
      <c r="N59" s="43"/>
      <c r="O59" s="26"/>
      <c r="P59" s="89" t="s">
        <v>197</v>
      </c>
      <c r="Q59" s="90">
        <f>Q58*Q57</f>
        <v>71.13600000000001</v>
      </c>
      <c r="R59" s="56" t="s">
        <v>109</v>
      </c>
      <c r="S59" s="26"/>
      <c r="T59" s="26"/>
      <c r="U59" s="26"/>
      <c r="V59" s="26" t="s">
        <v>77</v>
      </c>
      <c r="W59" s="28">
        <f>W58/(W57/100)*((100-W57)/100)</f>
        <v>13670.598083912</v>
      </c>
      <c r="X59" s="36" t="s">
        <v>54</v>
      </c>
      <c r="Y59" s="26"/>
      <c r="Z59" s="26"/>
      <c r="AA59" s="26"/>
      <c r="AB59" s="26"/>
      <c r="AC59" s="26"/>
      <c r="AD59" s="26"/>
      <c r="AE59" s="26"/>
      <c r="AF59" s="29"/>
      <c r="AH59" s="25"/>
      <c r="AI59" s="26"/>
      <c r="AJ59" s="26"/>
      <c r="AK59" s="26"/>
      <c r="AL59" s="26"/>
      <c r="AM59" s="26"/>
      <c r="AN59" s="29"/>
    </row>
    <row r="60" spans="2:40" ht="15.75" thickBot="1">
      <c r="B60" s="25" t="s">
        <v>56</v>
      </c>
      <c r="C60" s="28">
        <f>ROUNDUP(C59,-2)</f>
        <v>3800</v>
      </c>
      <c r="D60" s="3" t="s">
        <v>52</v>
      </c>
      <c r="E60" s="26"/>
      <c r="F60" s="26"/>
      <c r="G60" s="28"/>
      <c r="H60" s="3"/>
      <c r="I60" s="6">
        <f>I59*0.004184</f>
        <v>114.73504530485367</v>
      </c>
      <c r="J60" s="2" t="s">
        <v>109</v>
      </c>
      <c r="K60" s="28"/>
      <c r="L60" s="53" t="s">
        <v>206</v>
      </c>
      <c r="M60" s="54">
        <f>M59*M58</f>
        <v>597.79009627159678</v>
      </c>
      <c r="N60" s="55" t="s">
        <v>109</v>
      </c>
      <c r="O60" s="26"/>
      <c r="P60" s="26"/>
      <c r="Q60" s="26"/>
      <c r="R60" s="36"/>
      <c r="S60" s="26"/>
      <c r="T60" s="26"/>
      <c r="U60" s="26"/>
      <c r="V60" s="27" t="s">
        <v>120</v>
      </c>
      <c r="W60" s="6">
        <f>W58/(W57/100)</f>
        <v>34176.495209779998</v>
      </c>
      <c r="X60" s="35" t="s">
        <v>80</v>
      </c>
      <c r="Y60" s="26"/>
      <c r="Z60" s="26"/>
      <c r="AA60" s="26"/>
      <c r="AB60" s="26"/>
      <c r="AC60" s="26"/>
      <c r="AD60" s="26"/>
      <c r="AE60" s="26"/>
      <c r="AF60" s="29"/>
      <c r="AH60" s="25"/>
      <c r="AI60" s="26"/>
      <c r="AJ60" s="26"/>
      <c r="AK60" s="26"/>
      <c r="AL60" s="26"/>
      <c r="AM60" s="26"/>
      <c r="AN60" s="29"/>
    </row>
    <row r="61" spans="2:40" ht="15.75" thickBot="1">
      <c r="B61" s="82" t="s">
        <v>48</v>
      </c>
      <c r="C61" s="28">
        <f>2*(C60/3/PI())^(1/3)</f>
        <v>14.775226665015193</v>
      </c>
      <c r="D61" s="3" t="s">
        <v>49</v>
      </c>
      <c r="E61" s="3" t="s">
        <v>682</v>
      </c>
      <c r="F61" s="3"/>
      <c r="G61" s="28"/>
      <c r="H61" s="47" t="s">
        <v>678</v>
      </c>
      <c r="I61" s="44">
        <f>C21</f>
        <v>1.3</v>
      </c>
      <c r="J61" s="47"/>
      <c r="K61" s="28"/>
      <c r="L61" s="3"/>
      <c r="M61" s="28"/>
      <c r="N61" s="36"/>
      <c r="O61" s="26"/>
      <c r="P61" s="26"/>
      <c r="Q61" s="26"/>
      <c r="R61" s="26"/>
      <c r="S61" s="26"/>
      <c r="T61" s="26"/>
      <c r="U61" s="26"/>
      <c r="V61" s="26"/>
      <c r="W61" s="26"/>
      <c r="X61" s="36"/>
      <c r="Y61" s="26"/>
      <c r="Z61" s="26"/>
      <c r="AA61" s="26"/>
      <c r="AB61" s="26"/>
      <c r="AC61" s="26"/>
      <c r="AD61" s="26"/>
      <c r="AE61" s="26"/>
      <c r="AF61" s="29"/>
      <c r="AH61" s="98" t="s">
        <v>116</v>
      </c>
      <c r="AI61" s="99"/>
      <c r="AJ61" s="100">
        <f>SUM(AJ54:AJ58)</f>
        <v>59694.846044040802</v>
      </c>
      <c r="AK61" s="101" t="s">
        <v>113</v>
      </c>
      <c r="AL61" s="28">
        <v>1.9770000000000001</v>
      </c>
      <c r="AM61" s="36" t="s">
        <v>117</v>
      </c>
      <c r="AN61" s="29"/>
    </row>
    <row r="62" spans="2:40" ht="15.75" thickBot="1">
      <c r="B62" s="82" t="s">
        <v>51</v>
      </c>
      <c r="C62" s="28">
        <f>C61/2*3</f>
        <v>22.162839997522788</v>
      </c>
      <c r="D62" s="3" t="s">
        <v>49</v>
      </c>
      <c r="E62" s="26"/>
      <c r="F62" s="26"/>
      <c r="G62" s="28"/>
      <c r="H62" s="53" t="s">
        <v>196</v>
      </c>
      <c r="I62" s="54">
        <f>I61*I60</f>
        <v>149.15555889630977</v>
      </c>
      <c r="J62" s="55" t="s">
        <v>109</v>
      </c>
      <c r="K62" s="28"/>
      <c r="L62" s="36"/>
      <c r="M62" s="26"/>
      <c r="N62" s="36"/>
      <c r="O62" s="26"/>
      <c r="P62" s="26"/>
      <c r="Q62" s="26"/>
      <c r="R62" s="26"/>
      <c r="S62" s="26"/>
      <c r="T62" s="26"/>
      <c r="U62" s="26"/>
      <c r="V62" s="26"/>
      <c r="W62" s="26"/>
      <c r="X62" s="36"/>
      <c r="Y62" s="26"/>
      <c r="Z62" s="26"/>
      <c r="AA62" s="26"/>
      <c r="AB62" s="26"/>
      <c r="AC62" s="26"/>
      <c r="AD62" s="26"/>
      <c r="AE62" s="26"/>
      <c r="AF62" s="29"/>
      <c r="AH62" s="102" t="s">
        <v>215</v>
      </c>
      <c r="AI62" s="103"/>
      <c r="AJ62" s="104">
        <f>AJ61*AL61/1000</f>
        <v>118.01671062906867</v>
      </c>
      <c r="AK62" s="105" t="s">
        <v>118</v>
      </c>
      <c r="AL62" s="26"/>
      <c r="AM62" s="26"/>
      <c r="AN62" s="29"/>
    </row>
    <row r="63" spans="2:40" ht="15.75" thickBot="1">
      <c r="B63" s="82" t="s">
        <v>689</v>
      </c>
      <c r="C63" s="28">
        <f>(((C61/2)^2*PI())*2)+((PI()*C61)*C62)</f>
        <v>1371.6653643394936</v>
      </c>
      <c r="D63" s="3" t="s">
        <v>53</v>
      </c>
      <c r="E63" s="3"/>
      <c r="F63" s="3"/>
      <c r="G63" s="28"/>
      <c r="H63" s="36"/>
      <c r="I63" s="26"/>
      <c r="J63" s="36"/>
      <c r="K63" s="28"/>
      <c r="L63" s="3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9"/>
      <c r="AH63" s="106" t="s">
        <v>216</v>
      </c>
      <c r="AI63" s="107"/>
      <c r="AJ63" s="108">
        <f>SUM(AJ56:AJ58)*AL61/1000</f>
        <v>50.449779599333603</v>
      </c>
      <c r="AK63" s="109" t="s">
        <v>217</v>
      </c>
      <c r="AL63" s="26"/>
      <c r="AM63" s="26"/>
      <c r="AN63" s="29"/>
    </row>
    <row r="64" spans="2:40">
      <c r="B64" s="25"/>
      <c r="C64" s="28"/>
      <c r="D64" s="3"/>
      <c r="E64" s="26"/>
      <c r="F64" s="26"/>
      <c r="G64" s="28"/>
      <c r="H64" s="36"/>
      <c r="I64" s="26"/>
      <c r="J64" s="36"/>
      <c r="K64" s="28"/>
      <c r="L64" s="3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9"/>
      <c r="AH64" s="34"/>
      <c r="AI64" s="26"/>
      <c r="AJ64" s="26"/>
      <c r="AK64" s="26"/>
      <c r="AL64" s="26"/>
      <c r="AM64" s="26"/>
      <c r="AN64" s="29"/>
    </row>
    <row r="65" spans="2:40">
      <c r="B65" s="82" t="s">
        <v>688</v>
      </c>
      <c r="C65" s="28">
        <f>(C61/2)^2*PI()*C62</f>
        <v>3799.9999999999995</v>
      </c>
      <c r="D65" s="3" t="s">
        <v>52</v>
      </c>
      <c r="E65" s="26"/>
      <c r="F65" s="26"/>
      <c r="G65" s="28"/>
      <c r="H65" s="36"/>
      <c r="I65" s="26"/>
      <c r="J65" s="36"/>
      <c r="K65" s="28"/>
      <c r="L65" s="3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9"/>
      <c r="AH65" s="34"/>
      <c r="AI65" s="26"/>
      <c r="AJ65" s="26"/>
      <c r="AK65" s="26"/>
      <c r="AL65" s="26"/>
      <c r="AM65" s="26"/>
      <c r="AN65" s="29"/>
    </row>
    <row r="66" spans="2:40">
      <c r="B66" s="25"/>
      <c r="C66" s="28"/>
      <c r="D66" s="36"/>
      <c r="E66" s="26"/>
      <c r="F66" s="26"/>
      <c r="G66" s="28"/>
      <c r="H66" s="36"/>
      <c r="I66" s="26"/>
      <c r="J66" s="36"/>
      <c r="K66" s="28"/>
      <c r="L66" s="3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9"/>
      <c r="AH66" s="34"/>
      <c r="AI66" s="26"/>
      <c r="AJ66" s="26"/>
      <c r="AK66" s="26"/>
      <c r="AL66" s="26"/>
      <c r="AM66" s="26"/>
      <c r="AN66" s="29"/>
    </row>
    <row r="67" spans="2:40">
      <c r="B67" s="25"/>
      <c r="C67" s="28"/>
      <c r="D67" s="36"/>
      <c r="E67" s="26"/>
      <c r="F67" s="26"/>
      <c r="G67" s="28"/>
      <c r="H67" s="35" t="s">
        <v>81</v>
      </c>
      <c r="I67" s="26"/>
      <c r="J67" s="36"/>
      <c r="K67" s="28"/>
      <c r="L67" s="36"/>
      <c r="M67" s="26"/>
      <c r="N67" s="26"/>
      <c r="O67" s="26"/>
      <c r="P67" s="27" t="s">
        <v>99</v>
      </c>
      <c r="Q67" s="26"/>
      <c r="R67" s="26"/>
      <c r="S67" s="26"/>
      <c r="T67" s="27" t="s">
        <v>119</v>
      </c>
      <c r="U67" s="26"/>
      <c r="V67" s="26"/>
      <c r="W67" s="26"/>
      <c r="X67" s="26"/>
      <c r="AE67" s="26"/>
      <c r="AF67" s="29"/>
      <c r="AH67" s="34"/>
      <c r="AI67" s="26"/>
      <c r="AJ67" s="26"/>
      <c r="AK67" s="26"/>
      <c r="AL67" s="26"/>
      <c r="AM67" s="26"/>
      <c r="AN67" s="29"/>
    </row>
    <row r="68" spans="2:40">
      <c r="B68" s="25"/>
      <c r="C68" s="28"/>
      <c r="D68" s="36"/>
      <c r="E68" s="26"/>
      <c r="F68" s="26"/>
      <c r="G68" s="28"/>
      <c r="H68" s="35" t="s">
        <v>82</v>
      </c>
      <c r="I68" s="26"/>
      <c r="J68" s="36"/>
      <c r="K68" s="28"/>
      <c r="L68" s="27" t="s">
        <v>85</v>
      </c>
      <c r="M68" s="26"/>
      <c r="N68" s="26"/>
      <c r="O68" s="26"/>
      <c r="P68" s="27" t="s">
        <v>112</v>
      </c>
      <c r="Q68" s="26"/>
      <c r="R68" s="26"/>
      <c r="S68" s="26"/>
      <c r="T68" s="27" t="s">
        <v>135</v>
      </c>
      <c r="U68" s="26"/>
      <c r="V68" s="26"/>
      <c r="W68" s="26"/>
      <c r="X68" s="26"/>
      <c r="AC68" s="27"/>
      <c r="AD68" s="26"/>
      <c r="AE68" s="26"/>
      <c r="AF68" s="29"/>
      <c r="AH68" s="34"/>
      <c r="AI68" s="26"/>
      <c r="AJ68" s="26"/>
      <c r="AK68" s="26"/>
      <c r="AL68" s="26"/>
      <c r="AM68" s="26"/>
      <c r="AN68" s="29"/>
    </row>
    <row r="69" spans="2:40">
      <c r="B69" s="25"/>
      <c r="C69" s="28"/>
      <c r="D69" s="36"/>
      <c r="E69" s="26"/>
      <c r="F69" s="26"/>
      <c r="G69" s="28"/>
      <c r="H69" s="36"/>
      <c r="I69" s="26"/>
      <c r="J69" s="36"/>
      <c r="K69" s="28"/>
      <c r="L69" s="35" t="s">
        <v>94</v>
      </c>
      <c r="M69" s="26"/>
      <c r="N69" s="26"/>
      <c r="O69" s="26"/>
      <c r="P69" s="36" t="s">
        <v>101</v>
      </c>
      <c r="Q69" s="28">
        <v>9500</v>
      </c>
      <c r="R69" s="36" t="s">
        <v>102</v>
      </c>
      <c r="S69" s="26"/>
      <c r="T69" s="36" t="s">
        <v>129</v>
      </c>
      <c r="U69" s="28">
        <f>C56</f>
        <v>109.90404770399999</v>
      </c>
      <c r="V69" s="36" t="s">
        <v>41</v>
      </c>
      <c r="W69" s="36"/>
      <c r="X69" s="26"/>
      <c r="AF69" s="29"/>
      <c r="AH69" s="34"/>
      <c r="AI69" s="26"/>
      <c r="AJ69" s="26"/>
      <c r="AK69" s="26"/>
      <c r="AL69" s="26"/>
      <c r="AM69" s="26"/>
      <c r="AN69" s="29"/>
    </row>
    <row r="70" spans="2:40">
      <c r="B70" s="25"/>
      <c r="C70" s="28"/>
      <c r="D70" s="36"/>
      <c r="E70" s="26"/>
      <c r="F70" s="26"/>
      <c r="G70" s="28"/>
      <c r="H70" s="36" t="s">
        <v>83</v>
      </c>
      <c r="I70" s="26"/>
      <c r="J70" s="36"/>
      <c r="K70" s="28"/>
      <c r="L70" s="36" t="s">
        <v>88</v>
      </c>
      <c r="M70" s="32">
        <f>W60/24</f>
        <v>1424.0206337408333</v>
      </c>
      <c r="N70" s="3" t="s">
        <v>87</v>
      </c>
      <c r="O70" s="26"/>
      <c r="P70" s="36" t="s">
        <v>100</v>
      </c>
      <c r="Q70" s="28">
        <f>W58*Q69</f>
        <v>194806022.695746</v>
      </c>
      <c r="R70" s="36" t="s">
        <v>103</v>
      </c>
      <c r="S70" s="26"/>
      <c r="T70" s="36" t="s">
        <v>125</v>
      </c>
      <c r="U70" s="28">
        <f>C16*C56</f>
        <v>30.223613118599999</v>
      </c>
      <c r="V70" s="36" t="s">
        <v>123</v>
      </c>
      <c r="W70" s="36"/>
      <c r="X70" s="26"/>
      <c r="AF70" s="29"/>
      <c r="AH70" s="34"/>
      <c r="AI70" s="26"/>
      <c r="AJ70" s="26"/>
      <c r="AK70" s="26"/>
      <c r="AL70" s="26"/>
      <c r="AM70" s="26"/>
      <c r="AN70" s="29"/>
    </row>
    <row r="71" spans="2:40">
      <c r="B71" s="25"/>
      <c r="C71" s="28"/>
      <c r="D71" s="36"/>
      <c r="E71" s="26"/>
      <c r="F71" s="26"/>
      <c r="G71" s="28"/>
      <c r="H71" s="36" t="s">
        <v>84</v>
      </c>
      <c r="I71" s="26"/>
      <c r="J71" s="36"/>
      <c r="K71" s="28"/>
      <c r="L71" s="36"/>
      <c r="M71" s="28">
        <v>3.2934131736526949E-2</v>
      </c>
      <c r="N71" s="36" t="s">
        <v>89</v>
      </c>
      <c r="O71" s="26"/>
      <c r="P71" s="36"/>
      <c r="Q71" s="6">
        <f>Q70*0.004184</f>
        <v>815068.39895900129</v>
      </c>
      <c r="R71" s="36" t="s">
        <v>109</v>
      </c>
      <c r="S71" s="26"/>
      <c r="T71" s="36" t="s">
        <v>126</v>
      </c>
      <c r="U71" s="28">
        <f>C17*C56</f>
        <v>26.596779544367998</v>
      </c>
      <c r="V71" s="36" t="s">
        <v>124</v>
      </c>
      <c r="W71" s="36"/>
      <c r="X71" s="26"/>
      <c r="AF71" s="29"/>
      <c r="AH71" s="34"/>
      <c r="AI71" s="26"/>
      <c r="AJ71" s="26"/>
      <c r="AK71" s="26"/>
      <c r="AL71" s="26"/>
      <c r="AM71" s="26"/>
      <c r="AN71" s="29"/>
    </row>
    <row r="72" spans="2:40">
      <c r="B72" s="25"/>
      <c r="C72" s="28"/>
      <c r="D72" s="36"/>
      <c r="E72" s="26"/>
      <c r="F72" s="26"/>
      <c r="G72" s="28"/>
      <c r="H72" s="36">
        <v>32.26</v>
      </c>
      <c r="I72" s="26" t="s">
        <v>251</v>
      </c>
      <c r="J72" s="36"/>
      <c r="K72" s="28"/>
      <c r="L72" s="36" t="s">
        <v>91</v>
      </c>
      <c r="M72" s="28">
        <v>2.9</v>
      </c>
      <c r="N72" s="36" t="s">
        <v>92</v>
      </c>
      <c r="O72" s="26"/>
      <c r="P72" s="36"/>
      <c r="Q72" s="26"/>
      <c r="R72" s="36"/>
      <c r="S72" s="26"/>
      <c r="T72" s="35" t="s">
        <v>131</v>
      </c>
      <c r="U72" s="363">
        <f>(U70-U71)+((U71*(1-(W55/100))))</f>
        <v>10.276028460324001</v>
      </c>
      <c r="V72" s="35" t="s">
        <v>128</v>
      </c>
      <c r="W72" s="36" t="s">
        <v>127</v>
      </c>
      <c r="X72" s="26"/>
      <c r="AF72" s="29"/>
      <c r="AH72" s="34"/>
      <c r="AI72" s="26"/>
      <c r="AJ72" s="26"/>
      <c r="AK72" s="26"/>
      <c r="AL72" s="26"/>
      <c r="AM72" s="26"/>
      <c r="AN72" s="29"/>
    </row>
    <row r="73" spans="2:40">
      <c r="B73" s="25"/>
      <c r="C73" s="28"/>
      <c r="D73" s="36"/>
      <c r="E73" s="26"/>
      <c r="F73" s="26"/>
      <c r="G73" s="28"/>
      <c r="H73" s="112">
        <f>H72*W60/1000/1000</f>
        <v>1.1025337354675024</v>
      </c>
      <c r="I73" s="26" t="s">
        <v>41</v>
      </c>
      <c r="J73" s="36"/>
      <c r="K73" s="28"/>
      <c r="L73" s="38" t="s">
        <v>209</v>
      </c>
      <c r="M73" s="39">
        <f>M70*M71/M72</f>
        <v>16.172028671432138</v>
      </c>
      <c r="N73" s="38" t="s">
        <v>90</v>
      </c>
      <c r="O73" s="26" t="s">
        <v>93</v>
      </c>
      <c r="P73" s="43" t="s">
        <v>107</v>
      </c>
      <c r="Q73" s="44">
        <f>I21</f>
        <v>30</v>
      </c>
      <c r="R73" s="43" t="s">
        <v>12</v>
      </c>
      <c r="S73" s="26"/>
      <c r="T73" s="36" t="s">
        <v>130</v>
      </c>
      <c r="U73" s="28">
        <v>85</v>
      </c>
      <c r="V73" s="36" t="s">
        <v>12</v>
      </c>
      <c r="W73" s="36" t="s">
        <v>686</v>
      </c>
      <c r="X73" s="26"/>
      <c r="AF73" s="29"/>
      <c r="AH73" s="34"/>
      <c r="AI73" s="26"/>
      <c r="AJ73" s="26"/>
      <c r="AK73" s="26"/>
      <c r="AL73" s="26"/>
      <c r="AM73" s="26"/>
      <c r="AN73" s="29"/>
    </row>
    <row r="74" spans="2:40">
      <c r="B74" s="25"/>
      <c r="C74" s="28"/>
      <c r="D74" s="36"/>
      <c r="E74" s="26"/>
      <c r="F74" s="26"/>
      <c r="G74" s="28"/>
      <c r="H74" s="36"/>
      <c r="I74" s="26"/>
      <c r="J74" s="36"/>
      <c r="K74" s="28"/>
      <c r="L74" s="95"/>
      <c r="M74" s="39">
        <f>M73/180*1000</f>
        <v>89.844603730178534</v>
      </c>
      <c r="N74" s="38" t="s">
        <v>20</v>
      </c>
      <c r="O74" s="26"/>
      <c r="P74" s="43" t="s">
        <v>108</v>
      </c>
      <c r="Q74" s="44">
        <f>I22</f>
        <v>50</v>
      </c>
      <c r="R74" s="43" t="s">
        <v>12</v>
      </c>
      <c r="S74" s="26"/>
      <c r="T74" s="308" t="s">
        <v>685</v>
      </c>
      <c r="U74" s="236">
        <f>200/10000</f>
        <v>0.02</v>
      </c>
      <c r="V74" s="38" t="s">
        <v>608</v>
      </c>
      <c r="W74" s="36"/>
      <c r="X74" s="26"/>
      <c r="AE74" s="26"/>
      <c r="AF74" s="29"/>
      <c r="AH74" s="34"/>
      <c r="AI74" s="26"/>
      <c r="AJ74" s="26"/>
      <c r="AK74" s="26"/>
      <c r="AL74" s="26"/>
      <c r="AM74" s="26"/>
      <c r="AN74" s="29"/>
    </row>
    <row r="75" spans="2:40" ht="15.75" thickBot="1">
      <c r="B75" s="25"/>
      <c r="C75" s="28"/>
      <c r="D75" s="36"/>
      <c r="E75" s="26"/>
      <c r="F75" s="26"/>
      <c r="G75" s="28"/>
      <c r="H75" s="36"/>
      <c r="I75" s="26"/>
      <c r="J75" s="36"/>
      <c r="K75" s="28"/>
      <c r="L75" s="3"/>
      <c r="M75" s="85"/>
      <c r="N75" s="3"/>
      <c r="O75" s="26"/>
      <c r="P75" s="49" t="s">
        <v>106</v>
      </c>
      <c r="Q75" s="32">
        <f>Q70*Q73/100</f>
        <v>58441806.8087238</v>
      </c>
      <c r="R75" s="49" t="s">
        <v>103</v>
      </c>
      <c r="S75" s="26"/>
      <c r="T75" s="38"/>
      <c r="U75" s="236">
        <f>U69*U74/100</f>
        <v>2.1980809540799999E-2</v>
      </c>
      <c r="V75" s="38" t="s">
        <v>41</v>
      </c>
      <c r="W75" s="36"/>
      <c r="X75" s="26"/>
      <c r="AE75" s="26"/>
      <c r="AF75" s="29"/>
      <c r="AH75" s="34"/>
      <c r="AI75" s="26"/>
      <c r="AJ75" s="26"/>
      <c r="AK75" s="26"/>
      <c r="AL75" s="26"/>
      <c r="AM75" s="26"/>
      <c r="AN75" s="29"/>
    </row>
    <row r="76" spans="2:40" ht="15.75" thickBot="1">
      <c r="B76" s="25"/>
      <c r="C76" s="28"/>
      <c r="D76" s="36"/>
      <c r="E76" s="26"/>
      <c r="F76" s="26"/>
      <c r="G76" s="28"/>
      <c r="H76" s="36"/>
      <c r="I76" s="26"/>
      <c r="J76" s="36"/>
      <c r="K76" s="28"/>
      <c r="L76" s="3"/>
      <c r="M76" s="85"/>
      <c r="N76" s="3"/>
      <c r="O76" s="26"/>
      <c r="P76" s="50" t="s">
        <v>208</v>
      </c>
      <c r="Q76" s="51">
        <f>Q75*0.004184</f>
        <v>244520.51968770041</v>
      </c>
      <c r="R76" s="58" t="s">
        <v>109</v>
      </c>
      <c r="S76" s="26"/>
      <c r="T76" s="48" t="s">
        <v>611</v>
      </c>
      <c r="U76" s="9">
        <f>U75/2*1000</f>
        <v>10.9904047704</v>
      </c>
      <c r="V76" s="9" t="s">
        <v>613</v>
      </c>
      <c r="W76" s="12" t="s">
        <v>603</v>
      </c>
      <c r="X76" s="111"/>
      <c r="AE76" s="26"/>
      <c r="AF76" s="29"/>
      <c r="AH76" s="34"/>
      <c r="AI76" s="26"/>
      <c r="AJ76" s="26"/>
      <c r="AK76" s="26"/>
      <c r="AL76" s="26"/>
      <c r="AM76" s="26"/>
      <c r="AN76" s="29"/>
    </row>
    <row r="77" spans="2:40" ht="15.75" thickBot="1">
      <c r="B77" s="25"/>
      <c r="C77" s="28"/>
      <c r="D77" s="36"/>
      <c r="E77" s="26"/>
      <c r="F77" s="26"/>
      <c r="G77" s="28"/>
      <c r="H77" s="36"/>
      <c r="I77" s="26"/>
      <c r="J77" s="36"/>
      <c r="K77" s="28"/>
      <c r="L77" s="35" t="s">
        <v>86</v>
      </c>
      <c r="M77" s="86"/>
      <c r="N77" s="36"/>
      <c r="O77" s="26"/>
      <c r="P77" s="49" t="s">
        <v>105</v>
      </c>
      <c r="Q77" s="32">
        <f>Q70*Q74/100</f>
        <v>97403011.347873002</v>
      </c>
      <c r="R77" s="49" t="s">
        <v>103</v>
      </c>
      <c r="S77" s="26"/>
      <c r="T77" s="48" t="s">
        <v>612</v>
      </c>
      <c r="U77" s="9">
        <f>U75/2*1000</f>
        <v>10.9904047704</v>
      </c>
      <c r="V77" s="9" t="s">
        <v>613</v>
      </c>
      <c r="W77" s="12" t="s">
        <v>604</v>
      </c>
      <c r="X77" s="26"/>
      <c r="AE77" s="26"/>
      <c r="AF77" s="29"/>
      <c r="AH77" s="34"/>
      <c r="AI77" s="26"/>
      <c r="AJ77" s="26"/>
      <c r="AK77" s="26"/>
      <c r="AL77" s="26"/>
      <c r="AM77" s="26"/>
      <c r="AN77" s="29"/>
    </row>
    <row r="78" spans="2:40" ht="15.75" thickBot="1">
      <c r="B78" s="25"/>
      <c r="C78" s="28"/>
      <c r="D78" s="36"/>
      <c r="E78" s="26"/>
      <c r="F78" s="26"/>
      <c r="G78" s="28"/>
      <c r="H78" s="36"/>
      <c r="I78" s="26"/>
      <c r="J78" s="36"/>
      <c r="K78" s="28"/>
      <c r="L78" s="36"/>
      <c r="M78" s="86"/>
      <c r="N78" s="36"/>
      <c r="O78" s="26"/>
      <c r="P78" s="53" t="s">
        <v>207</v>
      </c>
      <c r="Q78" s="54">
        <f>Q77*0.004184</f>
        <v>407534.19947950065</v>
      </c>
      <c r="R78" s="94" t="s">
        <v>109</v>
      </c>
      <c r="S78" s="26"/>
      <c r="T78" s="48" t="s">
        <v>614</v>
      </c>
      <c r="U78" s="238">
        <f>U76*4/9</f>
        <v>4.8846243423999995</v>
      </c>
      <c r="V78" s="9" t="s">
        <v>613</v>
      </c>
      <c r="W78" s="36"/>
      <c r="X78" s="26"/>
      <c r="AE78" s="26"/>
      <c r="AF78" s="29"/>
      <c r="AH78" s="34"/>
      <c r="AI78" s="26"/>
      <c r="AJ78" s="26"/>
      <c r="AK78" s="26"/>
      <c r="AL78" s="26"/>
      <c r="AM78" s="26"/>
      <c r="AN78" s="29"/>
    </row>
    <row r="79" spans="2:40">
      <c r="B79" s="25"/>
      <c r="C79" s="28"/>
      <c r="D79" s="36"/>
      <c r="E79" s="26"/>
      <c r="F79" s="26"/>
      <c r="G79" s="28"/>
      <c r="H79" s="36"/>
      <c r="I79" s="26"/>
      <c r="J79" s="36"/>
      <c r="K79" s="28"/>
      <c r="L79" s="43" t="s">
        <v>95</v>
      </c>
      <c r="M79" s="400">
        <v>60</v>
      </c>
      <c r="N79" s="43" t="s">
        <v>12</v>
      </c>
      <c r="O79" s="26"/>
      <c r="P79" s="36"/>
      <c r="Q79" s="28"/>
      <c r="R79" s="36"/>
      <c r="S79" s="26"/>
      <c r="T79" s="48" t="s">
        <v>615</v>
      </c>
      <c r="U79" s="238">
        <f>U77/3</f>
        <v>3.6634682567999999</v>
      </c>
      <c r="V79" s="9" t="s">
        <v>613</v>
      </c>
      <c r="W79" s="36"/>
      <c r="X79" s="26"/>
      <c r="AE79" s="26"/>
      <c r="AF79" s="29"/>
      <c r="AH79" s="34"/>
      <c r="AI79" s="26"/>
      <c r="AJ79" s="26"/>
      <c r="AK79" s="26"/>
      <c r="AL79" s="26"/>
      <c r="AM79" s="26"/>
      <c r="AN79" s="29"/>
    </row>
    <row r="80" spans="2:40">
      <c r="B80" s="25"/>
      <c r="C80" s="28"/>
      <c r="D80" s="36"/>
      <c r="E80" s="26"/>
      <c r="F80" s="26"/>
      <c r="G80" s="28"/>
      <c r="H80" s="36"/>
      <c r="I80" s="26"/>
      <c r="J80" s="26"/>
      <c r="K80" s="28"/>
      <c r="L80" s="36" t="s">
        <v>729</v>
      </c>
      <c r="M80" s="28">
        <v>24516.6</v>
      </c>
      <c r="N80" s="36" t="s">
        <v>96</v>
      </c>
      <c r="O80" s="26"/>
      <c r="P80" s="91" t="s">
        <v>111</v>
      </c>
      <c r="Q80" s="87">
        <f>Q71-Q76-Q78</f>
        <v>163013.67979180021</v>
      </c>
      <c r="R80" s="93" t="s">
        <v>109</v>
      </c>
      <c r="S80" s="26"/>
      <c r="W80" s="36"/>
      <c r="X80" s="26"/>
      <c r="AE80" s="26"/>
      <c r="AF80" s="29"/>
      <c r="AH80" s="34"/>
      <c r="AI80" s="26"/>
      <c r="AJ80" s="26"/>
      <c r="AK80" s="26"/>
      <c r="AL80" s="26"/>
      <c r="AM80" s="26"/>
      <c r="AN80" s="29"/>
    </row>
    <row r="81" spans="2:40" ht="15.75" thickBot="1">
      <c r="B81" s="25"/>
      <c r="C81" s="28"/>
      <c r="D81" s="36"/>
      <c r="E81" s="26"/>
      <c r="F81" s="26"/>
      <c r="G81" s="28"/>
      <c r="H81" s="36"/>
      <c r="I81" s="26"/>
      <c r="J81" s="26"/>
      <c r="K81" s="28"/>
      <c r="L81" s="36"/>
      <c r="M81" s="28">
        <f>M70/(M79/100)*M80/3600/1000</f>
        <v>16.163029754245606</v>
      </c>
      <c r="N81" s="36" t="s">
        <v>97</v>
      </c>
      <c r="O81" s="26"/>
      <c r="P81" s="36"/>
      <c r="Q81" s="26"/>
      <c r="R81" s="36"/>
      <c r="S81" s="26"/>
      <c r="T81" s="92" t="s">
        <v>132</v>
      </c>
      <c r="U81" s="83">
        <f>U72/((100-U73)/100)+U75</f>
        <v>68.528837211700818</v>
      </c>
      <c r="V81" s="92" t="s">
        <v>133</v>
      </c>
      <c r="W81" s="364" t="s">
        <v>806</v>
      </c>
      <c r="X81" s="26"/>
      <c r="AE81" s="26"/>
      <c r="AF81" s="29"/>
      <c r="AH81" s="34"/>
      <c r="AI81" s="26"/>
      <c r="AJ81" s="26"/>
      <c r="AK81" s="26"/>
      <c r="AL81" s="26"/>
      <c r="AM81" s="26"/>
      <c r="AN81" s="29"/>
    </row>
    <row r="82" spans="2:40" ht="15.75" thickBot="1">
      <c r="B82" s="25"/>
      <c r="C82" s="28"/>
      <c r="D82" s="36"/>
      <c r="E82" s="26"/>
      <c r="F82" s="26"/>
      <c r="G82" s="28"/>
      <c r="H82" s="36"/>
      <c r="I82" s="26"/>
      <c r="J82" s="26"/>
      <c r="K82" s="28"/>
      <c r="L82" s="49"/>
      <c r="M82" s="32">
        <v>6915.9056346976176</v>
      </c>
      <c r="N82" s="49" t="s">
        <v>98</v>
      </c>
      <c r="O82" s="26"/>
      <c r="P82" s="36"/>
      <c r="Q82" s="26"/>
      <c r="R82" s="36"/>
      <c r="S82" s="26"/>
      <c r="T82" s="50" t="s">
        <v>250</v>
      </c>
      <c r="U82" s="51">
        <f>7.6*(U72+U75)*3.6*2</f>
        <v>563.50706724700183</v>
      </c>
      <c r="V82" s="58" t="s">
        <v>110</v>
      </c>
      <c r="W82" s="364" t="s">
        <v>808</v>
      </c>
      <c r="X82" s="26"/>
      <c r="AE82" s="26"/>
      <c r="AF82" s="29"/>
      <c r="AH82" s="34"/>
      <c r="AI82" s="26"/>
      <c r="AJ82" s="26"/>
      <c r="AK82" s="26"/>
      <c r="AL82" s="26"/>
      <c r="AM82" s="26"/>
      <c r="AN82" s="29"/>
    </row>
    <row r="83" spans="2:40" ht="17.25" thickBot="1">
      <c r="B83" s="25"/>
      <c r="C83" s="28"/>
      <c r="D83" s="36"/>
      <c r="E83" s="26"/>
      <c r="F83" s="26"/>
      <c r="G83" s="28"/>
      <c r="H83" s="36"/>
      <c r="I83" s="26"/>
      <c r="J83" s="26"/>
      <c r="K83" s="28"/>
      <c r="L83" s="50" t="s">
        <v>150</v>
      </c>
      <c r="M83" s="51">
        <f>M82*0.004184*24</f>
        <v>694.46758021379605</v>
      </c>
      <c r="N83" s="58" t="s">
        <v>109</v>
      </c>
      <c r="O83" s="26"/>
      <c r="P83" s="36"/>
      <c r="Q83" s="26"/>
      <c r="R83" s="36"/>
      <c r="S83" s="26"/>
      <c r="W83" s="365" t="s">
        <v>807</v>
      </c>
      <c r="X83" s="26"/>
      <c r="AE83" s="26"/>
      <c r="AF83" s="29"/>
      <c r="AH83" s="34"/>
      <c r="AI83" s="26"/>
      <c r="AJ83" s="26"/>
      <c r="AK83" s="26"/>
      <c r="AL83" s="26"/>
      <c r="AM83" s="26"/>
      <c r="AN83" s="29"/>
    </row>
    <row r="84" spans="2:40">
      <c r="B84" s="25"/>
      <c r="C84" s="28"/>
      <c r="D84" s="36"/>
      <c r="E84" s="26"/>
      <c r="F84" s="26"/>
      <c r="G84" s="28"/>
      <c r="H84" s="36"/>
      <c r="I84" s="26"/>
      <c r="J84" s="26"/>
      <c r="K84" s="28"/>
      <c r="L84" s="36"/>
      <c r="M84" s="28"/>
      <c r="N84" s="36"/>
      <c r="O84" s="26"/>
      <c r="P84" s="36"/>
      <c r="Q84" s="26"/>
      <c r="R84" s="36"/>
      <c r="S84" s="26"/>
      <c r="T84" s="35" t="s">
        <v>136</v>
      </c>
      <c r="U84" s="26"/>
      <c r="V84" s="36"/>
      <c r="X84" s="26"/>
      <c r="AE84" s="26"/>
      <c r="AF84" s="29"/>
      <c r="AH84" s="34"/>
      <c r="AI84" s="26"/>
      <c r="AJ84" s="26"/>
      <c r="AK84" s="26"/>
      <c r="AL84" s="26"/>
      <c r="AM84" s="26"/>
      <c r="AN84" s="29"/>
    </row>
    <row r="85" spans="2:40">
      <c r="B85" s="25"/>
      <c r="C85" s="28"/>
      <c r="D85" s="36"/>
      <c r="E85" s="26"/>
      <c r="F85" s="26"/>
      <c r="G85" s="28"/>
      <c r="H85" s="36"/>
      <c r="I85" s="26"/>
      <c r="J85" s="26"/>
      <c r="K85" s="28"/>
      <c r="L85" s="36"/>
      <c r="M85" s="36"/>
      <c r="N85" s="26"/>
      <c r="O85" s="36"/>
      <c r="P85" s="36"/>
      <c r="Q85" s="26"/>
      <c r="R85" s="36"/>
      <c r="S85" s="26"/>
      <c r="T85" s="92" t="s">
        <v>134</v>
      </c>
      <c r="U85" s="83">
        <f>U69-U81</f>
        <v>41.375210492299175</v>
      </c>
      <c r="V85" s="92" t="s">
        <v>41</v>
      </c>
      <c r="W85" s="36"/>
      <c r="X85" s="26"/>
      <c r="AE85" s="26"/>
      <c r="AF85" s="29"/>
      <c r="AH85" s="34"/>
      <c r="AI85" s="26"/>
      <c r="AJ85" s="26"/>
      <c r="AK85" s="26"/>
      <c r="AL85" s="26"/>
      <c r="AM85" s="26"/>
      <c r="AN85" s="29"/>
    </row>
    <row r="86" spans="2:40">
      <c r="B86" s="25"/>
      <c r="C86" s="28"/>
      <c r="D86" s="36"/>
      <c r="E86" s="26"/>
      <c r="F86" s="26"/>
      <c r="G86" s="28"/>
      <c r="H86" s="36"/>
      <c r="I86" s="26"/>
      <c r="J86" s="26"/>
      <c r="K86" s="28"/>
      <c r="L86" s="36"/>
      <c r="M86" s="36"/>
      <c r="N86" s="26"/>
      <c r="O86" s="36"/>
      <c r="P86" s="36"/>
      <c r="Q86" s="26"/>
      <c r="R86" s="36"/>
      <c r="S86" s="26"/>
      <c r="T86" s="35"/>
      <c r="U86" s="26"/>
      <c r="V86" s="36"/>
      <c r="W86" s="36"/>
      <c r="X86" s="26"/>
      <c r="AE86" s="26"/>
      <c r="AF86" s="29"/>
      <c r="AH86" s="34"/>
      <c r="AI86" s="26"/>
      <c r="AJ86" s="26"/>
      <c r="AK86" s="26"/>
      <c r="AL86" s="26"/>
      <c r="AM86" s="26"/>
      <c r="AN86" s="29"/>
    </row>
    <row r="87" spans="2:40">
      <c r="B87" s="25"/>
      <c r="C87" s="28"/>
      <c r="D87" s="36"/>
      <c r="E87" s="26"/>
      <c r="F87" s="26"/>
      <c r="G87" s="28"/>
      <c r="H87" s="36"/>
      <c r="I87" s="26"/>
      <c r="J87" s="26"/>
      <c r="K87" s="28"/>
      <c r="L87" s="36"/>
      <c r="M87" s="36"/>
      <c r="N87" s="26"/>
      <c r="O87" s="36"/>
      <c r="P87" s="36"/>
      <c r="Q87" s="26"/>
      <c r="R87" s="36"/>
      <c r="S87" s="26"/>
      <c r="T87" s="36"/>
      <c r="U87" s="26"/>
      <c r="V87" s="36"/>
      <c r="W87" s="36"/>
      <c r="X87" s="26"/>
      <c r="AE87" s="26"/>
      <c r="AF87" s="29"/>
      <c r="AH87" s="34"/>
      <c r="AI87" s="26"/>
      <c r="AJ87" s="26"/>
      <c r="AK87" s="26"/>
      <c r="AL87" s="26"/>
      <c r="AM87" s="26"/>
      <c r="AN87" s="29"/>
    </row>
    <row r="88" spans="2:40">
      <c r="B88" s="25"/>
      <c r="C88" s="28"/>
      <c r="D88" s="36"/>
      <c r="E88" s="26"/>
      <c r="F88" s="26"/>
      <c r="G88" s="28"/>
      <c r="H88" s="36"/>
      <c r="I88" s="26"/>
      <c r="J88" s="26"/>
      <c r="K88" s="28"/>
      <c r="L88" s="36"/>
      <c r="M88" s="36"/>
      <c r="N88" s="26"/>
      <c r="O88" s="36"/>
      <c r="P88" s="36"/>
      <c r="Q88" s="26"/>
      <c r="R88" s="36"/>
      <c r="S88" s="26"/>
      <c r="T88" s="35" t="s">
        <v>731</v>
      </c>
      <c r="U88" s="26"/>
      <c r="V88" s="36"/>
      <c r="W88" s="36"/>
      <c r="X88" s="26"/>
      <c r="AE88" s="26"/>
      <c r="AF88" s="29"/>
      <c r="AH88" s="34"/>
      <c r="AI88" s="26"/>
      <c r="AJ88" s="26"/>
      <c r="AK88" s="26"/>
      <c r="AL88" s="26"/>
      <c r="AM88" s="26"/>
      <c r="AN88" s="29"/>
    </row>
    <row r="89" spans="2:40">
      <c r="B89" s="25"/>
      <c r="C89" s="28"/>
      <c r="D89" s="26"/>
      <c r="E89" s="26"/>
      <c r="F89" s="26"/>
      <c r="G89" s="28"/>
      <c r="H89" s="36"/>
      <c r="I89" s="26"/>
      <c r="J89" s="26"/>
      <c r="K89" s="28"/>
      <c r="L89" s="36"/>
      <c r="M89" s="36"/>
      <c r="N89" s="26"/>
      <c r="O89" s="36"/>
      <c r="P89" s="36"/>
      <c r="Q89" s="26"/>
      <c r="R89" s="36"/>
      <c r="S89" s="26"/>
      <c r="T89" s="35" t="s">
        <v>132</v>
      </c>
      <c r="U89" s="6">
        <f>U81</f>
        <v>68.528837211700818</v>
      </c>
      <c r="V89" s="35" t="s">
        <v>133</v>
      </c>
      <c r="W89" s="36"/>
      <c r="X89" s="26"/>
      <c r="AE89" s="26"/>
      <c r="AF89" s="29"/>
      <c r="AH89" s="34"/>
      <c r="AI89" s="26"/>
      <c r="AJ89" s="26"/>
      <c r="AK89" s="26"/>
      <c r="AL89" s="26"/>
      <c r="AM89" s="26"/>
      <c r="AN89" s="29"/>
    </row>
    <row r="90" spans="2:40">
      <c r="B90" s="25"/>
      <c r="C90" s="28"/>
      <c r="D90" s="26"/>
      <c r="E90" s="26"/>
      <c r="F90" s="26"/>
      <c r="G90" s="28"/>
      <c r="H90" s="36"/>
      <c r="I90" s="26"/>
      <c r="J90" s="26"/>
      <c r="K90" s="28"/>
      <c r="L90" s="36"/>
      <c r="M90" s="36"/>
      <c r="N90" s="26"/>
      <c r="O90" s="36"/>
      <c r="P90" s="36"/>
      <c r="Q90" s="26"/>
      <c r="R90" s="36"/>
      <c r="S90" s="26"/>
      <c r="T90" s="35" t="s">
        <v>1</v>
      </c>
      <c r="U90" s="27">
        <f>G39/1000</f>
        <v>1.7546320000000029</v>
      </c>
      <c r="V90" s="35" t="s">
        <v>189</v>
      </c>
      <c r="W90" s="36"/>
      <c r="X90" s="26"/>
      <c r="AE90" s="26"/>
      <c r="AF90" s="29"/>
      <c r="AH90" s="34"/>
      <c r="AI90" s="26"/>
      <c r="AJ90" s="26"/>
      <c r="AK90" s="26"/>
      <c r="AL90" s="26"/>
      <c r="AM90" s="26"/>
      <c r="AN90" s="29"/>
    </row>
    <row r="91" spans="2:40">
      <c r="B91" s="25"/>
      <c r="C91" s="28"/>
      <c r="D91" s="26"/>
      <c r="E91" s="26"/>
      <c r="F91" s="26"/>
      <c r="G91" s="28"/>
      <c r="H91" s="36"/>
      <c r="I91" s="26"/>
      <c r="J91" s="26"/>
      <c r="K91" s="28"/>
      <c r="L91" s="36"/>
      <c r="M91" s="36"/>
      <c r="N91" s="26"/>
      <c r="O91" s="36"/>
      <c r="P91" s="36"/>
      <c r="Q91" s="26"/>
      <c r="R91" s="36"/>
      <c r="S91" s="26"/>
      <c r="T91" s="36"/>
      <c r="U91" s="26"/>
      <c r="V91" s="36"/>
      <c r="W91" s="26"/>
      <c r="X91" s="36"/>
      <c r="Y91" s="26"/>
      <c r="Z91" s="36"/>
      <c r="AA91" s="36"/>
      <c r="AB91" s="26"/>
      <c r="AE91" s="26"/>
      <c r="AF91" s="29"/>
      <c r="AH91" s="34"/>
      <c r="AI91" s="26"/>
      <c r="AJ91" s="26"/>
      <c r="AK91" s="26"/>
      <c r="AL91" s="26"/>
      <c r="AM91" s="26"/>
      <c r="AN91" s="29"/>
    </row>
    <row r="92" spans="2:40">
      <c r="B92" s="25"/>
      <c r="C92" s="28"/>
      <c r="D92" s="26"/>
      <c r="E92" s="26"/>
      <c r="F92" s="26"/>
      <c r="G92" s="28"/>
      <c r="H92" s="36"/>
      <c r="I92" s="26"/>
      <c r="J92" s="26"/>
      <c r="K92" s="28"/>
      <c r="L92" s="36"/>
      <c r="M92" s="26"/>
      <c r="N92" s="26"/>
      <c r="O92" s="26"/>
      <c r="P92" s="28"/>
      <c r="Q92" s="26"/>
      <c r="R92" s="26"/>
      <c r="S92" s="26"/>
      <c r="T92" s="28"/>
      <c r="U92" s="26"/>
      <c r="V92" s="26"/>
      <c r="W92" s="26"/>
      <c r="X92" s="36"/>
      <c r="Y92" s="26"/>
      <c r="Z92" s="26"/>
      <c r="AA92" s="26"/>
      <c r="AB92" s="26"/>
      <c r="AC92" s="26"/>
      <c r="AD92" s="26"/>
      <c r="AE92" s="26"/>
      <c r="AF92" s="29"/>
      <c r="AH92" s="34"/>
      <c r="AI92" s="26"/>
      <c r="AJ92" s="26"/>
      <c r="AK92" s="26"/>
      <c r="AL92" s="26"/>
      <c r="AM92" s="26"/>
      <c r="AN92" s="29"/>
    </row>
    <row r="93" spans="2:40" ht="15.75" thickBot="1">
      <c r="B93" s="61"/>
      <c r="C93" s="63"/>
      <c r="D93" s="62"/>
      <c r="E93" s="62"/>
      <c r="F93" s="62"/>
      <c r="G93" s="63"/>
      <c r="H93" s="62"/>
      <c r="I93" s="62"/>
      <c r="J93" s="62"/>
      <c r="K93" s="63"/>
      <c r="L93" s="80"/>
      <c r="M93" s="62"/>
      <c r="N93" s="62"/>
      <c r="O93" s="62"/>
      <c r="P93" s="63"/>
      <c r="Q93" s="62"/>
      <c r="R93" s="62"/>
      <c r="S93" s="62"/>
      <c r="T93" s="63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4"/>
      <c r="AH93" s="61"/>
      <c r="AI93" s="62"/>
      <c r="AJ93" s="62"/>
      <c r="AK93" s="62"/>
      <c r="AL93" s="62"/>
      <c r="AM93" s="62"/>
      <c r="AN93" s="64"/>
    </row>
    <row r="94" spans="2:40">
      <c r="C94" s="12"/>
      <c r="O94" s="9"/>
      <c r="P94" s="12"/>
      <c r="AB94" s="9"/>
    </row>
    <row r="95" spans="2:40">
      <c r="C95" s="12"/>
      <c r="O95" s="9"/>
      <c r="P95" s="12"/>
      <c r="AB95" s="9"/>
    </row>
    <row r="96" spans="2:40">
      <c r="C96" s="12"/>
      <c r="O96" s="9"/>
      <c r="P96" s="12"/>
      <c r="AB96" s="9"/>
    </row>
    <row r="97" spans="2:40" ht="17.25">
      <c r="B97" s="362" t="s">
        <v>218</v>
      </c>
      <c r="C97" s="12"/>
      <c r="O97" s="9"/>
      <c r="P97" s="12"/>
      <c r="AB97" s="9"/>
    </row>
    <row r="98" spans="2:40" ht="21.75" thickBot="1">
      <c r="B98" s="7" t="s">
        <v>780</v>
      </c>
      <c r="C98" s="12"/>
      <c r="O98" s="9"/>
      <c r="P98" s="12"/>
      <c r="AB98" s="9"/>
    </row>
    <row r="99" spans="2:40">
      <c r="B99" s="68"/>
      <c r="C99" s="21"/>
      <c r="D99" s="19"/>
      <c r="E99" s="19"/>
      <c r="F99" s="19"/>
      <c r="G99" s="21"/>
      <c r="H99" s="19"/>
      <c r="I99" s="19"/>
      <c r="J99" s="19"/>
      <c r="K99" s="21"/>
      <c r="L99" s="19"/>
      <c r="M99" s="19"/>
      <c r="N99" s="19"/>
      <c r="O99" s="19"/>
      <c r="P99" s="21"/>
      <c r="Q99" s="19"/>
      <c r="R99" s="19"/>
      <c r="S99" s="19"/>
      <c r="T99" s="21"/>
      <c r="U99" s="19"/>
      <c r="V99" s="19"/>
      <c r="W99" s="19"/>
      <c r="X99" s="21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22"/>
    </row>
    <row r="100" spans="2:40">
      <c r="B100" s="34"/>
      <c r="C100" s="118" t="s">
        <v>191</v>
      </c>
      <c r="D100" s="26"/>
      <c r="E100" s="26"/>
      <c r="F100" s="26"/>
      <c r="G100" s="26"/>
      <c r="H100" s="26"/>
      <c r="I100" s="26"/>
      <c r="J100" s="26"/>
      <c r="K100" s="28"/>
      <c r="L100" s="26"/>
      <c r="M100" s="26"/>
      <c r="N100" s="26"/>
      <c r="O100" s="28"/>
      <c r="P100" s="26"/>
      <c r="Q100" s="26"/>
      <c r="R100" s="26"/>
      <c r="S100" s="26"/>
      <c r="T100" s="26"/>
      <c r="U100" s="26"/>
      <c r="V100" s="26"/>
      <c r="W100" s="290" t="s">
        <v>655</v>
      </c>
      <c r="X100" s="291"/>
      <c r="Y100" s="420">
        <v>1440</v>
      </c>
      <c r="Z100" s="293" t="s">
        <v>575</v>
      </c>
      <c r="AA100" s="33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9"/>
    </row>
    <row r="101" spans="2:40">
      <c r="B101" s="34"/>
      <c r="C101" s="115"/>
      <c r="D101" s="114"/>
      <c r="E101" s="114"/>
      <c r="F101" s="140" t="s">
        <v>231</v>
      </c>
      <c r="G101" s="140"/>
      <c r="H101" s="140" t="s">
        <v>232</v>
      </c>
      <c r="I101" s="140"/>
      <c r="J101" s="140"/>
      <c r="K101" s="140" t="s">
        <v>569</v>
      </c>
      <c r="L101" s="140"/>
      <c r="M101" s="140" t="s">
        <v>233</v>
      </c>
      <c r="N101" s="140"/>
      <c r="O101" s="140"/>
      <c r="P101" s="140"/>
      <c r="Q101" s="140"/>
      <c r="R101" s="140"/>
      <c r="S101" s="140" t="s">
        <v>213</v>
      </c>
      <c r="T101" s="140" t="s">
        <v>234</v>
      </c>
      <c r="U101" s="116" t="s">
        <v>242</v>
      </c>
      <c r="V101" s="26"/>
      <c r="W101" s="295" t="s">
        <v>656</v>
      </c>
      <c r="X101" s="79"/>
      <c r="Y101" s="79"/>
      <c r="Z101" s="71"/>
      <c r="AA101" s="28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9"/>
    </row>
    <row r="102" spans="2:40" ht="15.75" thickBot="1">
      <c r="B102" s="34"/>
      <c r="C102" s="141"/>
      <c r="D102" s="142"/>
      <c r="E102" s="142" t="s">
        <v>219</v>
      </c>
      <c r="F102" s="142" t="s">
        <v>239</v>
      </c>
      <c r="G102" s="142" t="s">
        <v>240</v>
      </c>
      <c r="H102" s="142" t="s">
        <v>258</v>
      </c>
      <c r="I102" s="142" t="s">
        <v>564</v>
      </c>
      <c r="J102" s="142" t="s">
        <v>161</v>
      </c>
      <c r="K102" s="142" t="s">
        <v>570</v>
      </c>
      <c r="L102" s="142" t="s">
        <v>161</v>
      </c>
      <c r="M102" s="142" t="s">
        <v>236</v>
      </c>
      <c r="N102" s="142" t="s">
        <v>237</v>
      </c>
      <c r="O102" s="142" t="s">
        <v>197</v>
      </c>
      <c r="P102" s="142" t="s">
        <v>257</v>
      </c>
      <c r="Q102" s="142" t="s">
        <v>238</v>
      </c>
      <c r="R102" s="142" t="s">
        <v>115</v>
      </c>
      <c r="S102" s="142" t="s">
        <v>239</v>
      </c>
      <c r="T102" s="142"/>
      <c r="U102" s="117"/>
      <c r="V102" s="26"/>
      <c r="W102" s="296" t="s">
        <v>241</v>
      </c>
      <c r="X102" s="294" t="s">
        <v>219</v>
      </c>
      <c r="Y102" s="294" t="s">
        <v>241</v>
      </c>
      <c r="Z102" s="297" t="s">
        <v>219</v>
      </c>
      <c r="AA102" s="26"/>
      <c r="AB102" s="28"/>
      <c r="AC102" s="26"/>
      <c r="AD102" s="26"/>
      <c r="AE102" s="26"/>
      <c r="AF102" s="26"/>
      <c r="AG102" s="26"/>
      <c r="AH102" s="26"/>
      <c r="AI102" s="26"/>
      <c r="AJ102" s="26"/>
      <c r="AK102" s="26"/>
      <c r="AL102" s="28"/>
      <c r="AM102" s="26"/>
      <c r="AN102" s="29"/>
    </row>
    <row r="103" spans="2:40" ht="17.25" thickTop="1">
      <c r="B103" s="34"/>
      <c r="C103" s="143" t="s">
        <v>220</v>
      </c>
      <c r="D103" s="2" t="s">
        <v>104</v>
      </c>
      <c r="E103" s="2" t="s">
        <v>110</v>
      </c>
      <c r="F103" s="28">
        <f>-G16</f>
        <v>-252</v>
      </c>
      <c r="G103" s="28">
        <f>-SUM(K18:K19)</f>
        <v>-3129.2</v>
      </c>
      <c r="H103" s="28">
        <f>-(T21+T38)</f>
        <v>-9649.1828694087199</v>
      </c>
      <c r="I103" s="28">
        <f>-AB33</f>
        <v>-30282.88629042418</v>
      </c>
      <c r="J103" s="28">
        <f>-AF18</f>
        <v>-23085.10917112992</v>
      </c>
      <c r="K103" s="28">
        <f>-AJ34</f>
        <v>-30380.210452644282</v>
      </c>
      <c r="L103" s="28">
        <f>-AJ42</f>
        <v>-2531.6842043870242</v>
      </c>
      <c r="M103" s="28"/>
      <c r="N103" s="28"/>
      <c r="O103" s="28">
        <f>-Q59</f>
        <v>-71.13600000000001</v>
      </c>
      <c r="P103" s="28"/>
      <c r="Q103" s="28">
        <f>-M83</f>
        <v>-694.46758021379605</v>
      </c>
      <c r="R103" s="28">
        <f>Q76</f>
        <v>244520.51968770041</v>
      </c>
      <c r="S103" s="28">
        <f>-U82</f>
        <v>-563.50706724700183</v>
      </c>
      <c r="T103" s="28">
        <f>SUM(F103:S103)</f>
        <v>143881.13605224548</v>
      </c>
      <c r="U103" s="230">
        <f>T103/3.6*Y103*(O25/100)</f>
        <v>2914.2591214285831</v>
      </c>
      <c r="V103" s="26"/>
      <c r="W103" s="414">
        <v>105</v>
      </c>
      <c r="X103" s="26" t="s">
        <v>338</v>
      </c>
      <c r="Y103" s="418">
        <f>W103/$Y$100</f>
        <v>7.2916666666666671E-2</v>
      </c>
      <c r="Z103" s="75" t="s">
        <v>246</v>
      </c>
      <c r="AA103" s="26"/>
      <c r="AB103" s="28"/>
      <c r="AC103" s="26"/>
      <c r="AD103" s="26"/>
      <c r="AE103" s="26"/>
      <c r="AF103" s="26"/>
      <c r="AG103" s="26"/>
      <c r="AH103" s="26"/>
      <c r="AI103" s="26"/>
      <c r="AJ103" s="26"/>
      <c r="AK103" s="26"/>
      <c r="AL103" s="28"/>
      <c r="AM103" s="26"/>
      <c r="AN103" s="29"/>
    </row>
    <row r="104" spans="2:40">
      <c r="B104" s="34"/>
      <c r="C104" s="143"/>
      <c r="D104" s="2" t="s">
        <v>194</v>
      </c>
      <c r="E104" s="2" t="s">
        <v>110</v>
      </c>
      <c r="F104" s="28"/>
      <c r="G104" s="28"/>
      <c r="H104" s="28">
        <f>-T18</f>
        <v>-9519.231534354667</v>
      </c>
      <c r="I104" s="28"/>
      <c r="J104" s="28"/>
      <c r="K104" s="28"/>
      <c r="L104" s="28"/>
      <c r="M104" s="28">
        <f>-M60</f>
        <v>-597.79009627159678</v>
      </c>
      <c r="N104" s="28">
        <f>-I62</f>
        <v>-149.15555889630977</v>
      </c>
      <c r="O104" s="28"/>
      <c r="P104" s="28"/>
      <c r="Q104" s="28"/>
      <c r="R104" s="28">
        <f>Q78</f>
        <v>407534.19947950065</v>
      </c>
      <c r="S104" s="28"/>
      <c r="T104" s="28">
        <f>SUM(F104:S104)</f>
        <v>397268.02228997805</v>
      </c>
      <c r="U104" s="230">
        <v>0</v>
      </c>
      <c r="V104" s="26"/>
      <c r="W104" s="414"/>
      <c r="X104" s="26"/>
      <c r="Y104" s="418">
        <f>W104/$Y$100</f>
        <v>0</v>
      </c>
      <c r="Z104" s="75"/>
      <c r="AA104" s="26"/>
      <c r="AB104" s="28"/>
      <c r="AC104" s="26"/>
      <c r="AD104" s="26"/>
      <c r="AE104" s="26"/>
      <c r="AF104" s="26"/>
      <c r="AG104" s="26"/>
      <c r="AH104" s="26"/>
      <c r="AI104" s="26"/>
      <c r="AJ104" s="26"/>
      <c r="AK104" s="26"/>
      <c r="AL104" s="28"/>
      <c r="AM104" s="26"/>
      <c r="AN104" s="29"/>
    </row>
    <row r="105" spans="2:40">
      <c r="B105" s="34"/>
      <c r="C105" s="143" t="s">
        <v>221</v>
      </c>
      <c r="D105" s="2" t="s">
        <v>25</v>
      </c>
      <c r="E105" s="2" t="s">
        <v>255</v>
      </c>
      <c r="F105" s="28">
        <f>G10/1000</f>
        <v>20.209199999999999</v>
      </c>
      <c r="G105" s="28">
        <f>K13/1000</f>
        <v>20.597367999999999</v>
      </c>
      <c r="H105" s="28">
        <f>-T9/1000</f>
        <v>-2.2657104799999996</v>
      </c>
      <c r="I105" s="28"/>
      <c r="J105" s="28"/>
      <c r="K105" s="28"/>
      <c r="L105" s="28"/>
      <c r="M105" s="28"/>
      <c r="N105" s="6"/>
      <c r="O105" s="28"/>
      <c r="P105" s="28">
        <f>-H73</f>
        <v>-1.1025337354675024</v>
      </c>
      <c r="Q105" s="28"/>
      <c r="R105" s="28"/>
      <c r="S105" s="28"/>
      <c r="T105" s="28">
        <f>SUM(F105:S105)</f>
        <v>37.438323784532493</v>
      </c>
      <c r="U105" s="230">
        <f t="shared" ref="U105:U112" si="0">-T105*Y105</f>
        <v>-18.693163056304765</v>
      </c>
      <c r="V105" s="26"/>
      <c r="W105" s="414">
        <v>719</v>
      </c>
      <c r="X105" s="26" t="s">
        <v>243</v>
      </c>
      <c r="Y105" s="418">
        <f>W105/$Y$100</f>
        <v>0.49930555555555556</v>
      </c>
      <c r="Z105" s="75" t="s">
        <v>247</v>
      </c>
      <c r="AA105" s="26"/>
      <c r="AB105" s="28"/>
      <c r="AC105" s="26"/>
      <c r="AD105" s="26"/>
      <c r="AE105" s="26"/>
      <c r="AF105" s="26"/>
      <c r="AG105" s="26"/>
      <c r="AH105" s="26"/>
      <c r="AI105" s="26"/>
      <c r="AJ105" s="26"/>
      <c r="AK105" s="26"/>
      <c r="AL105" s="28"/>
      <c r="AM105" s="26"/>
      <c r="AN105" s="29"/>
    </row>
    <row r="106" spans="2:40" ht="16.5">
      <c r="B106" s="34"/>
      <c r="C106" s="143"/>
      <c r="D106" s="2" t="s">
        <v>222</v>
      </c>
      <c r="E106" s="2" t="s">
        <v>4</v>
      </c>
      <c r="F106" s="28">
        <f>K14</f>
        <v>51.49342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>
        <f>SUM(F106:S106)</f>
        <v>51.49342</v>
      </c>
      <c r="U106" s="230">
        <f t="shared" si="0"/>
        <v>-20.978800740740741</v>
      </c>
      <c r="V106" s="26"/>
      <c r="W106" s="414">
        <f>11000/18.75</f>
        <v>586.66666666666663</v>
      </c>
      <c r="X106" s="113" t="s">
        <v>574</v>
      </c>
      <c r="Y106" s="418">
        <f>W106/$Y$100</f>
        <v>0.40740740740740738</v>
      </c>
      <c r="Z106" s="75" t="s">
        <v>580</v>
      </c>
      <c r="AA106" s="233"/>
      <c r="AB106" s="28"/>
      <c r="AC106" s="26"/>
      <c r="AD106" s="26"/>
      <c r="AE106" s="26"/>
      <c r="AF106" s="26"/>
      <c r="AG106" s="26"/>
      <c r="AH106" s="26"/>
      <c r="AI106" s="26"/>
      <c r="AJ106" s="26"/>
      <c r="AK106" s="26"/>
      <c r="AL106" s="28"/>
      <c r="AM106" s="26"/>
      <c r="AN106" s="29"/>
    </row>
    <row r="107" spans="2:40">
      <c r="B107" s="34"/>
      <c r="C107" s="74"/>
      <c r="D107" s="2" t="s">
        <v>262</v>
      </c>
      <c r="E107" s="2" t="s">
        <v>256</v>
      </c>
      <c r="F107" s="28"/>
      <c r="G107" s="28"/>
      <c r="H107" s="28"/>
      <c r="I107" s="28">
        <f>X24</f>
        <v>26.333307721937011</v>
      </c>
      <c r="J107" s="28"/>
      <c r="K107" s="28"/>
      <c r="L107" s="28">
        <f>-AF27</f>
        <v>-0.78569856582412556</v>
      </c>
      <c r="M107" s="28"/>
      <c r="N107" s="28"/>
      <c r="O107" s="28"/>
      <c r="P107" s="28"/>
      <c r="Q107" s="28"/>
      <c r="R107" s="28"/>
      <c r="S107" s="28"/>
      <c r="T107" s="28">
        <f t="shared" ref="T107:T112" si="1">SUM(F107:S107)</f>
        <v>25.547609156112884</v>
      </c>
      <c r="U107" s="230">
        <f t="shared" si="0"/>
        <v>-21076.77755379313</v>
      </c>
      <c r="V107" s="26"/>
      <c r="W107" s="414"/>
      <c r="X107" s="26"/>
      <c r="Y107" s="418">
        <v>825</v>
      </c>
      <c r="Z107" s="75" t="s">
        <v>249</v>
      </c>
      <c r="AA107" s="26"/>
      <c r="AB107" s="28"/>
      <c r="AC107" s="26"/>
      <c r="AD107" s="26"/>
      <c r="AE107" s="26"/>
      <c r="AF107" s="26"/>
      <c r="AG107" s="26"/>
      <c r="AH107" s="26"/>
      <c r="AI107" s="26"/>
      <c r="AJ107" s="26"/>
      <c r="AK107" s="26"/>
      <c r="AL107" s="28"/>
      <c r="AM107" s="26"/>
      <c r="AN107" s="29"/>
    </row>
    <row r="108" spans="2:40">
      <c r="B108" s="34"/>
      <c r="C108" s="74"/>
      <c r="D108" s="2" t="s">
        <v>565</v>
      </c>
      <c r="E108" s="2" t="s">
        <v>566</v>
      </c>
      <c r="F108" s="28"/>
      <c r="G108" s="28"/>
      <c r="H108" s="28"/>
      <c r="I108" s="28">
        <f>X29</f>
        <v>15.800612051158263</v>
      </c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>
        <f t="shared" si="1"/>
        <v>15.800612051158263</v>
      </c>
      <c r="U108" s="230">
        <f t="shared" si="0"/>
        <v>-8.9040316494834979</v>
      </c>
      <c r="V108" s="26"/>
      <c r="W108" s="414">
        <v>811.47524752475238</v>
      </c>
      <c r="X108" s="26" t="s">
        <v>576</v>
      </c>
      <c r="Y108" s="418">
        <f>W108/$Y$100</f>
        <v>0.5635244774477447</v>
      </c>
      <c r="Z108" s="75" t="s">
        <v>249</v>
      </c>
      <c r="AA108" s="26"/>
      <c r="AB108" s="28"/>
      <c r="AC108" s="26"/>
      <c r="AD108" s="26"/>
      <c r="AE108" s="26"/>
      <c r="AF108" s="26"/>
      <c r="AG108" s="26"/>
      <c r="AH108" s="26"/>
      <c r="AI108" s="26"/>
      <c r="AJ108" s="26"/>
      <c r="AK108" s="26"/>
      <c r="AL108" s="28"/>
      <c r="AM108" s="26"/>
      <c r="AN108" s="29"/>
    </row>
    <row r="109" spans="2:40" ht="16.5">
      <c r="B109" s="34"/>
      <c r="C109" s="74"/>
      <c r="D109" s="2" t="s">
        <v>577</v>
      </c>
      <c r="E109" s="2" t="s">
        <v>4</v>
      </c>
      <c r="F109" s="28"/>
      <c r="G109" s="28"/>
      <c r="H109" s="28"/>
      <c r="I109" s="28">
        <f>X26*24</f>
        <v>119.97507203644604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>
        <f t="shared" si="1"/>
        <v>119.97507203644604</v>
      </c>
      <c r="U109" s="230">
        <f t="shared" si="0"/>
        <v>-95.980057629156832</v>
      </c>
      <c r="V109" s="26"/>
      <c r="W109" s="414"/>
      <c r="X109" s="26"/>
      <c r="Y109" s="418">
        <f>800/1000</f>
        <v>0.8</v>
      </c>
      <c r="Z109" s="75" t="s">
        <v>248</v>
      </c>
      <c r="AA109" s="233" t="s">
        <v>578</v>
      </c>
      <c r="AB109" s="28"/>
      <c r="AC109" s="26"/>
      <c r="AD109" s="26"/>
      <c r="AE109" s="26"/>
      <c r="AF109" s="26"/>
      <c r="AG109" s="26"/>
      <c r="AH109" s="26"/>
      <c r="AI109" s="26"/>
      <c r="AJ109" s="26"/>
      <c r="AK109" s="26"/>
      <c r="AL109" s="28"/>
      <c r="AM109" s="26"/>
      <c r="AN109" s="29"/>
    </row>
    <row r="110" spans="2:40" ht="16.5">
      <c r="B110" s="34"/>
      <c r="C110" s="143"/>
      <c r="D110" s="2" t="s">
        <v>224</v>
      </c>
      <c r="E110" s="2" t="s">
        <v>4</v>
      </c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>
        <f>M74</f>
        <v>89.844603730178534</v>
      </c>
      <c r="R110" s="28"/>
      <c r="S110" s="28"/>
      <c r="T110" s="28">
        <f t="shared" si="1"/>
        <v>89.844603730178534</v>
      </c>
      <c r="U110" s="230">
        <f t="shared" si="0"/>
        <v>-164.65271475273693</v>
      </c>
      <c r="V110" s="26"/>
      <c r="W110" s="432">
        <v>2639</v>
      </c>
      <c r="X110" t="s">
        <v>579</v>
      </c>
      <c r="Y110" s="418">
        <f>W110/$Y$100</f>
        <v>1.8326388888888889</v>
      </c>
      <c r="Z110" s="75" t="s">
        <v>248</v>
      </c>
      <c r="AA110" s="26"/>
      <c r="AB110" s="28"/>
      <c r="AC110" s="26"/>
      <c r="AD110" s="26"/>
      <c r="AE110" s="26"/>
      <c r="AF110" s="26"/>
      <c r="AG110" s="26"/>
      <c r="AH110" s="26"/>
      <c r="AI110" s="26"/>
      <c r="AJ110" s="26"/>
      <c r="AK110" s="2"/>
      <c r="AL110" s="2"/>
      <c r="AM110" s="2"/>
      <c r="AN110" s="29"/>
    </row>
    <row r="111" spans="2:40" ht="16.5">
      <c r="B111" s="34"/>
      <c r="C111" s="143"/>
      <c r="D111" s="2" t="s">
        <v>614</v>
      </c>
      <c r="E111" s="26" t="s">
        <v>609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>
        <f>U78</f>
        <v>4.8846243423999995</v>
      </c>
      <c r="T111" s="28">
        <f t="shared" si="1"/>
        <v>4.8846243423999995</v>
      </c>
      <c r="U111" s="230">
        <f t="shared" si="0"/>
        <v>-6.8384740793599992</v>
      </c>
      <c r="V111" s="26"/>
      <c r="W111" s="414"/>
      <c r="X111" s="225"/>
      <c r="Y111" s="404">
        <v>1.4</v>
      </c>
      <c r="Z111" s="75" t="s">
        <v>607</v>
      </c>
      <c r="AA111" s="26"/>
      <c r="AB111" s="28"/>
      <c r="AC111" s="26"/>
      <c r="AD111" s="26"/>
      <c r="AE111" s="26"/>
      <c r="AF111" s="26"/>
      <c r="AG111" s="26"/>
      <c r="AH111" s="26"/>
      <c r="AI111" s="26"/>
      <c r="AJ111" s="26"/>
      <c r="AK111" s="2"/>
      <c r="AL111" s="2"/>
      <c r="AM111" s="2"/>
      <c r="AN111" s="29"/>
    </row>
    <row r="112" spans="2:40" ht="16.5">
      <c r="B112" s="34"/>
      <c r="C112" s="74"/>
      <c r="D112" s="2" t="s">
        <v>615</v>
      </c>
      <c r="E112" s="7" t="s">
        <v>609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>
        <f>U79</f>
        <v>3.6634682567999999</v>
      </c>
      <c r="T112" s="28">
        <f t="shared" si="1"/>
        <v>3.6634682567999999</v>
      </c>
      <c r="U112" s="230">
        <f t="shared" si="0"/>
        <v>-0.8792323816319999</v>
      </c>
      <c r="V112" s="26"/>
      <c r="W112" s="415"/>
      <c r="X112" s="28"/>
      <c r="Y112" s="418">
        <f>(0.18+0.3)/2</f>
        <v>0.24</v>
      </c>
      <c r="Z112" s="75" t="s">
        <v>607</v>
      </c>
      <c r="AA112" s="26"/>
      <c r="AB112" s="28"/>
      <c r="AC112" s="26"/>
      <c r="AD112" s="26"/>
      <c r="AE112" s="26"/>
      <c r="AF112" s="26"/>
      <c r="AG112" s="26"/>
      <c r="AH112" s="26"/>
      <c r="AI112" s="26"/>
      <c r="AJ112" s="26"/>
      <c r="AK112" s="26"/>
      <c r="AL112" s="28"/>
      <c r="AM112" s="26"/>
      <c r="AN112" s="29"/>
    </row>
    <row r="113" spans="2:40">
      <c r="B113" s="34"/>
      <c r="C113" s="143" t="s">
        <v>225</v>
      </c>
      <c r="D113" s="2" t="s">
        <v>226</v>
      </c>
      <c r="E113" s="2" t="s">
        <v>256</v>
      </c>
      <c r="F113" s="28"/>
      <c r="G113" s="28"/>
      <c r="H113" s="28"/>
      <c r="I113" s="28">
        <f>AF29</f>
        <v>2.8836315200000002</v>
      </c>
      <c r="J113" s="28"/>
      <c r="K113" s="28"/>
      <c r="L113" s="28"/>
      <c r="M113" s="28">
        <f>U90</f>
        <v>1.7546320000000029</v>
      </c>
      <c r="N113" s="28"/>
      <c r="O113" s="28"/>
      <c r="P113" s="28"/>
      <c r="Q113" s="28"/>
      <c r="R113" s="28"/>
      <c r="S113" s="28"/>
      <c r="T113" s="28">
        <f>SUM(F113:S113)</f>
        <v>4.6382635200000033</v>
      </c>
      <c r="U113" s="230">
        <f>-T113*Y113</f>
        <v>-354.31179666666691</v>
      </c>
      <c r="V113" s="26"/>
      <c r="W113" s="414">
        <v>110000</v>
      </c>
      <c r="X113" s="26" t="s">
        <v>245</v>
      </c>
      <c r="Y113" s="418">
        <f>W113/$Y$100</f>
        <v>76.388888888888886</v>
      </c>
      <c r="Z113" s="75" t="s">
        <v>247</v>
      </c>
      <c r="AA113" s="26"/>
      <c r="AB113" s="28"/>
      <c r="AC113" s="26"/>
      <c r="AD113" s="26"/>
      <c r="AE113" s="26"/>
      <c r="AF113" s="26"/>
      <c r="AG113" s="26"/>
      <c r="AH113" s="26"/>
      <c r="AI113" s="26"/>
      <c r="AJ113" s="26"/>
      <c r="AK113" s="26"/>
      <c r="AL113" s="28"/>
      <c r="AM113" s="26"/>
      <c r="AN113" s="29"/>
    </row>
    <row r="114" spans="2:40">
      <c r="B114" s="34"/>
      <c r="C114" s="143"/>
      <c r="D114" s="2" t="s">
        <v>188</v>
      </c>
      <c r="E114" s="2" t="s">
        <v>256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>
        <f>U81</f>
        <v>68.528837211700818</v>
      </c>
      <c r="T114" s="28">
        <f>SUM(F114:S114)</f>
        <v>68.528837211700818</v>
      </c>
      <c r="U114" s="230">
        <f>-T114*Y114</f>
        <v>-5234.8417314493681</v>
      </c>
      <c r="V114" s="26"/>
      <c r="W114" s="414">
        <v>110000</v>
      </c>
      <c r="X114" s="26" t="s">
        <v>245</v>
      </c>
      <c r="Y114" s="418">
        <f>W114/$Y$100</f>
        <v>76.388888888888886</v>
      </c>
      <c r="Z114" s="75" t="s">
        <v>249</v>
      </c>
      <c r="AA114" s="26"/>
      <c r="AB114" s="28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9"/>
    </row>
    <row r="115" spans="2:40">
      <c r="B115" s="34"/>
      <c r="C115" s="143"/>
      <c r="D115" s="2" t="s">
        <v>228</v>
      </c>
      <c r="E115" s="2" t="s">
        <v>255</v>
      </c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>
        <f>U85</f>
        <v>41.375210492299175</v>
      </c>
      <c r="T115" s="28">
        <f>SUM(F115:S115)</f>
        <v>41.375210492299175</v>
      </c>
      <c r="U115" s="230">
        <f>-T115*Y115</f>
        <v>-7.987714247818869</v>
      </c>
      <c r="V115" s="26"/>
      <c r="W115" s="414">
        <v>278</v>
      </c>
      <c r="X115" s="26" t="s">
        <v>243</v>
      </c>
      <c r="Y115" s="418">
        <f>W115/$Y$100</f>
        <v>0.19305555555555556</v>
      </c>
      <c r="Z115" s="75" t="s">
        <v>247</v>
      </c>
      <c r="AA115" s="28"/>
      <c r="AB115" s="28" t="s">
        <v>84</v>
      </c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9"/>
    </row>
    <row r="116" spans="2:40" ht="16.5">
      <c r="B116" s="34"/>
      <c r="C116" s="144" t="s">
        <v>229</v>
      </c>
      <c r="D116" s="145" t="s">
        <v>568</v>
      </c>
      <c r="E116" s="145" t="s">
        <v>256</v>
      </c>
      <c r="F116" s="77"/>
      <c r="G116" s="77"/>
      <c r="H116" s="77"/>
      <c r="I116" s="77"/>
      <c r="J116" s="77"/>
      <c r="K116" s="77">
        <f>AF25</f>
        <v>29.034600948833077</v>
      </c>
      <c r="L116" s="77"/>
      <c r="M116" s="77"/>
      <c r="N116" s="77"/>
      <c r="O116" s="77"/>
      <c r="P116" s="77"/>
      <c r="Q116" s="77"/>
      <c r="R116" s="77"/>
      <c r="S116" s="77">
        <f>AF8</f>
        <v>0</v>
      </c>
      <c r="T116" s="77">
        <f>SUM(F116:S116)</f>
        <v>29.034600948833077</v>
      </c>
      <c r="U116" s="231">
        <f>T116*Y116*(N25/100)</f>
        <v>32518.753062693046</v>
      </c>
      <c r="V116" s="26"/>
      <c r="W116" s="416"/>
      <c r="X116" s="81"/>
      <c r="Y116" s="405">
        <f>(800+2000)/2*0.8</f>
        <v>1120</v>
      </c>
      <c r="Z116" s="78" t="s">
        <v>249</v>
      </c>
      <c r="AA116" s="226" t="s">
        <v>581</v>
      </c>
      <c r="AB116" s="26" t="s">
        <v>84</v>
      </c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9"/>
    </row>
    <row r="117" spans="2:40">
      <c r="B117" s="34"/>
      <c r="C117" s="26"/>
      <c r="D117" s="26"/>
      <c r="E117" s="26"/>
      <c r="F117" s="26"/>
      <c r="G117" s="28"/>
      <c r="H117" s="26"/>
      <c r="I117" s="26"/>
      <c r="J117" s="28"/>
      <c r="K117" s="26"/>
      <c r="L117" s="26"/>
      <c r="M117" s="26"/>
      <c r="N117" s="28"/>
      <c r="O117" s="26"/>
      <c r="P117" s="26"/>
      <c r="Q117" s="26"/>
      <c r="R117" s="27" t="s">
        <v>616</v>
      </c>
      <c r="S117" s="27" t="s">
        <v>104</v>
      </c>
      <c r="T117" s="27">
        <f>T103</f>
        <v>143881.13605224548</v>
      </c>
      <c r="U117" s="27" t="s">
        <v>110</v>
      </c>
      <c r="V117" s="26"/>
      <c r="W117" s="28"/>
      <c r="X117" s="6">
        <f>T117/($C$7+$C$10)*1000</f>
        <v>1603.7399800731807</v>
      </c>
      <c r="Y117" s="27" t="s">
        <v>781</v>
      </c>
      <c r="Z117" s="26"/>
      <c r="AA117" s="28"/>
      <c r="AB117" s="28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9"/>
    </row>
    <row r="118" spans="2:40">
      <c r="B118" s="34"/>
      <c r="C118" s="26"/>
      <c r="D118" s="26"/>
      <c r="E118" s="26"/>
      <c r="F118" s="26"/>
      <c r="G118" s="28"/>
      <c r="H118" s="26"/>
      <c r="I118" s="26"/>
      <c r="J118" s="26"/>
      <c r="K118" s="28"/>
      <c r="L118" s="26"/>
      <c r="M118" s="26"/>
      <c r="N118" s="26"/>
      <c r="O118" s="28"/>
      <c r="P118" s="26"/>
      <c r="Q118" s="26"/>
      <c r="R118" s="27"/>
      <c r="S118" s="27"/>
      <c r="T118" s="6">
        <f>T117/1000</f>
        <v>143.88113605224547</v>
      </c>
      <c r="U118" s="27" t="s">
        <v>733</v>
      </c>
      <c r="V118" s="26"/>
      <c r="W118" s="26"/>
      <c r="X118" s="6">
        <f t="shared" ref="X118:X123" si="2">T118/($C$7+$C$10)*1000</f>
        <v>1.6037399800731804</v>
      </c>
      <c r="Y118" s="27" t="s">
        <v>783</v>
      </c>
      <c r="Z118" s="26"/>
      <c r="AA118" s="26"/>
      <c r="AB118" s="28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9"/>
    </row>
    <row r="119" spans="2:40">
      <c r="B119" s="34"/>
      <c r="C119" s="26"/>
      <c r="D119" s="26"/>
      <c r="E119" s="26"/>
      <c r="F119" s="26"/>
      <c r="G119" s="28"/>
      <c r="H119" s="26"/>
      <c r="I119" s="26"/>
      <c r="J119" s="26"/>
      <c r="K119" s="28"/>
      <c r="L119" s="26"/>
      <c r="M119" s="26"/>
      <c r="N119" s="26"/>
      <c r="O119" s="28"/>
      <c r="P119" s="26"/>
      <c r="Q119" s="26"/>
      <c r="R119" s="27"/>
      <c r="S119" s="27" t="s">
        <v>194</v>
      </c>
      <c r="T119" s="27">
        <f>T104</f>
        <v>397268.02228997805</v>
      </c>
      <c r="U119" s="27" t="s">
        <v>110</v>
      </c>
      <c r="V119" s="26"/>
      <c r="W119" s="26"/>
      <c r="X119" s="6">
        <f t="shared" si="2"/>
        <v>4428.0621326182409</v>
      </c>
      <c r="Y119" s="27" t="s">
        <v>781</v>
      </c>
      <c r="Z119" s="26"/>
      <c r="AA119" s="26"/>
      <c r="AB119" s="28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9"/>
    </row>
    <row r="120" spans="2:40">
      <c r="B120" s="34"/>
      <c r="C120" s="26"/>
      <c r="D120" s="26"/>
      <c r="E120" s="26"/>
      <c r="F120" s="26"/>
      <c r="G120" s="28"/>
      <c r="H120" s="26"/>
      <c r="I120" s="26"/>
      <c r="J120" s="26"/>
      <c r="K120" s="28"/>
      <c r="L120" s="26"/>
      <c r="M120" s="26"/>
      <c r="N120" s="26"/>
      <c r="O120" s="28"/>
      <c r="P120" s="26"/>
      <c r="Q120" s="26"/>
      <c r="R120" s="27"/>
      <c r="S120" s="27"/>
      <c r="T120" s="6">
        <f>T119/1000</f>
        <v>397.26802228997803</v>
      </c>
      <c r="U120" s="27" t="s">
        <v>733</v>
      </c>
      <c r="V120" s="26"/>
      <c r="W120" s="26"/>
      <c r="X120" s="6">
        <f t="shared" si="2"/>
        <v>4.4280621326182406</v>
      </c>
      <c r="Y120" s="27" t="s">
        <v>783</v>
      </c>
      <c r="Z120" s="26"/>
      <c r="AA120" s="26"/>
      <c r="AB120" s="28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9"/>
    </row>
    <row r="121" spans="2:40">
      <c r="B121" s="34"/>
      <c r="C121" s="26"/>
      <c r="D121" s="26"/>
      <c r="E121" s="26"/>
      <c r="F121" s="26"/>
      <c r="G121" s="28"/>
      <c r="H121" s="26"/>
      <c r="I121" s="26"/>
      <c r="J121" s="26"/>
      <c r="K121" s="28"/>
      <c r="L121" s="26"/>
      <c r="M121" s="26"/>
      <c r="N121" s="26"/>
      <c r="O121" s="28"/>
      <c r="P121" s="26"/>
      <c r="Q121" s="26"/>
      <c r="R121" s="27"/>
      <c r="S121" s="6" t="s">
        <v>732</v>
      </c>
      <c r="T121" s="27">
        <f>SUM(T117,T119)</f>
        <v>541149.1583422235</v>
      </c>
      <c r="U121" s="27" t="s">
        <v>110</v>
      </c>
      <c r="V121" s="26"/>
      <c r="W121" s="26"/>
      <c r="X121" s="6">
        <f t="shared" si="2"/>
        <v>6031.8021126914209</v>
      </c>
      <c r="Y121" s="27" t="s">
        <v>781</v>
      </c>
      <c r="Z121" s="26"/>
      <c r="AA121" s="26"/>
      <c r="AB121" s="28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9"/>
    </row>
    <row r="122" spans="2:40">
      <c r="B122" s="34"/>
      <c r="C122" s="26"/>
      <c r="D122" s="26"/>
      <c r="E122" s="26"/>
      <c r="F122" s="26"/>
      <c r="G122" s="28"/>
      <c r="H122" s="26"/>
      <c r="I122" s="26"/>
      <c r="J122" s="26"/>
      <c r="K122" s="28"/>
      <c r="L122" s="26"/>
      <c r="M122" s="26"/>
      <c r="N122" s="26"/>
      <c r="O122" s="28"/>
      <c r="P122" s="26"/>
      <c r="Q122" s="26"/>
      <c r="R122" s="27"/>
      <c r="S122" s="27"/>
      <c r="T122" s="6">
        <f>SUM(T118,T120)</f>
        <v>541.14915834222347</v>
      </c>
      <c r="U122" s="27" t="s">
        <v>733</v>
      </c>
      <c r="V122" s="26"/>
      <c r="W122" s="26"/>
      <c r="X122" s="6">
        <f t="shared" si="2"/>
        <v>6.0318021126914205</v>
      </c>
      <c r="Y122" s="27" t="s">
        <v>783</v>
      </c>
      <c r="Z122" s="26"/>
      <c r="AA122" s="26"/>
      <c r="AB122" s="28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9"/>
    </row>
    <row r="123" spans="2:40" ht="15.75" thickBot="1">
      <c r="B123" s="61"/>
      <c r="C123" s="62"/>
      <c r="D123" s="62"/>
      <c r="E123" s="62"/>
      <c r="F123" s="62"/>
      <c r="G123" s="63"/>
      <c r="H123" s="62"/>
      <c r="I123" s="62"/>
      <c r="J123" s="62"/>
      <c r="K123" s="63"/>
      <c r="L123" s="62"/>
      <c r="M123" s="62"/>
      <c r="N123" s="62"/>
      <c r="O123" s="63"/>
      <c r="P123" s="62"/>
      <c r="Q123" s="62"/>
      <c r="R123" s="241" t="s">
        <v>618</v>
      </c>
      <c r="S123" s="241"/>
      <c r="T123" s="241">
        <f>SUM(U103:U116)</f>
        <v>8442.1669136752316</v>
      </c>
      <c r="U123" s="241" t="s">
        <v>254</v>
      </c>
      <c r="V123" s="62"/>
      <c r="W123" s="62"/>
      <c r="X123" s="366">
        <f t="shared" si="2"/>
        <v>94.098788551375804</v>
      </c>
      <c r="Y123" s="241" t="s">
        <v>249</v>
      </c>
      <c r="Z123" s="62"/>
      <c r="AA123" s="62"/>
      <c r="AB123" s="63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4"/>
    </row>
    <row r="126" spans="2:40" ht="20.25">
      <c r="B126" s="360" t="s">
        <v>779</v>
      </c>
    </row>
    <row r="127" spans="2:40">
      <c r="B127" s="9" t="s">
        <v>775</v>
      </c>
    </row>
    <row r="129" spans="2:40" ht="15.75" thickBot="1">
      <c r="B129" s="4" t="s">
        <v>776</v>
      </c>
    </row>
    <row r="130" spans="2:40">
      <c r="B130" s="68"/>
      <c r="C130" s="21"/>
      <c r="D130" s="19"/>
      <c r="E130" s="19"/>
      <c r="F130" s="19"/>
      <c r="G130" s="21"/>
      <c r="H130" s="19"/>
      <c r="I130" s="19"/>
      <c r="J130" s="19"/>
      <c r="K130" s="21"/>
      <c r="L130" s="19"/>
      <c r="M130" s="19"/>
      <c r="N130" s="19"/>
      <c r="O130" s="19"/>
      <c r="P130" s="21"/>
      <c r="Q130" s="19"/>
      <c r="R130" s="19"/>
      <c r="S130" s="19"/>
      <c r="T130" s="21"/>
      <c r="U130" s="19"/>
      <c r="V130" s="19"/>
      <c r="W130" s="19"/>
      <c r="X130" s="21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22"/>
    </row>
    <row r="131" spans="2:40">
      <c r="B131" s="34"/>
      <c r="C131" s="118" t="s">
        <v>191</v>
      </c>
      <c r="D131" s="26"/>
      <c r="E131" s="26"/>
      <c r="F131" s="26"/>
      <c r="G131" s="26"/>
      <c r="H131" s="26"/>
      <c r="I131" s="26"/>
      <c r="J131" s="26"/>
      <c r="K131" s="28"/>
      <c r="L131" s="26"/>
      <c r="M131" s="26"/>
      <c r="N131" s="26"/>
      <c r="O131" s="28"/>
      <c r="P131" s="26"/>
      <c r="Q131" s="26"/>
      <c r="R131" s="26"/>
      <c r="S131" s="26"/>
      <c r="T131" s="26"/>
      <c r="U131" s="26"/>
      <c r="V131" s="26"/>
      <c r="W131" s="290" t="s">
        <v>212</v>
      </c>
      <c r="X131" s="291"/>
      <c r="Y131" s="420">
        <v>1440</v>
      </c>
      <c r="Z131" s="293" t="s">
        <v>575</v>
      </c>
      <c r="AA131" s="33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9"/>
    </row>
    <row r="132" spans="2:40">
      <c r="B132" s="34"/>
      <c r="C132" s="115"/>
      <c r="D132" s="114"/>
      <c r="E132" s="114"/>
      <c r="F132" s="140" t="s">
        <v>231</v>
      </c>
      <c r="G132" s="140"/>
      <c r="H132" s="140" t="s">
        <v>232</v>
      </c>
      <c r="I132" s="140"/>
      <c r="J132" s="140"/>
      <c r="K132" s="140" t="s">
        <v>569</v>
      </c>
      <c r="L132" s="140"/>
      <c r="M132" s="140" t="s">
        <v>233</v>
      </c>
      <c r="N132" s="140"/>
      <c r="O132" s="140"/>
      <c r="P132" s="140"/>
      <c r="Q132" s="140"/>
      <c r="R132" s="140"/>
      <c r="S132" s="140" t="s">
        <v>213</v>
      </c>
      <c r="T132" s="140" t="s">
        <v>234</v>
      </c>
      <c r="U132" s="116" t="s">
        <v>242</v>
      </c>
      <c r="V132" s="26"/>
      <c r="W132" s="295" t="s">
        <v>656</v>
      </c>
      <c r="X132" s="79"/>
      <c r="Y132" s="79"/>
      <c r="Z132" s="71"/>
      <c r="AA132" s="28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9"/>
    </row>
    <row r="133" spans="2:40" ht="15.75" thickBot="1">
      <c r="B133" s="34"/>
      <c r="C133" s="141"/>
      <c r="D133" s="142"/>
      <c r="E133" s="142" t="s">
        <v>219</v>
      </c>
      <c r="F133" s="142" t="s">
        <v>239</v>
      </c>
      <c r="G133" s="142" t="s">
        <v>240</v>
      </c>
      <c r="H133" s="142" t="s">
        <v>258</v>
      </c>
      <c r="I133" s="142" t="s">
        <v>564</v>
      </c>
      <c r="J133" s="142" t="s">
        <v>161</v>
      </c>
      <c r="K133" s="142" t="s">
        <v>570</v>
      </c>
      <c r="L133" s="142" t="s">
        <v>161</v>
      </c>
      <c r="M133" s="142" t="s">
        <v>236</v>
      </c>
      <c r="N133" s="142" t="s">
        <v>237</v>
      </c>
      <c r="O133" s="142" t="s">
        <v>197</v>
      </c>
      <c r="P133" s="142" t="s">
        <v>257</v>
      </c>
      <c r="Q133" s="142" t="s">
        <v>238</v>
      </c>
      <c r="R133" s="142" t="s">
        <v>115</v>
      </c>
      <c r="S133" s="142" t="s">
        <v>239</v>
      </c>
      <c r="T133" s="142"/>
      <c r="U133" s="117"/>
      <c r="V133" s="26"/>
      <c r="W133" s="296" t="s">
        <v>241</v>
      </c>
      <c r="X133" s="294" t="s">
        <v>219</v>
      </c>
      <c r="Y133" s="294" t="s">
        <v>241</v>
      </c>
      <c r="Z133" s="297" t="s">
        <v>219</v>
      </c>
      <c r="AA133" s="26"/>
      <c r="AB133" s="28"/>
      <c r="AC133" s="26"/>
      <c r="AD133" s="26"/>
      <c r="AE133" s="26"/>
      <c r="AF133" s="26"/>
      <c r="AG133" s="26"/>
      <c r="AH133" s="26"/>
      <c r="AI133" s="26"/>
      <c r="AJ133" s="26"/>
      <c r="AK133" s="26"/>
      <c r="AL133" s="28"/>
      <c r="AM133" s="26"/>
      <c r="AN133" s="29"/>
    </row>
    <row r="134" spans="2:40" ht="17.25" thickTop="1">
      <c r="B134" s="34"/>
      <c r="C134" s="143" t="s">
        <v>220</v>
      </c>
      <c r="D134" s="2" t="s">
        <v>104</v>
      </c>
      <c r="E134" s="2" t="s">
        <v>781</v>
      </c>
      <c r="F134" s="28">
        <f>-G16/(C7+C10)*C9*1000</f>
        <v>-0.69980513518862453</v>
      </c>
      <c r="G134" s="28">
        <f>-SUM(K18:K19)/(C7+C10)*C9*1000</f>
        <v>-8.6898024961596985</v>
      </c>
      <c r="H134" s="28">
        <f>-(T21+T38)/(O8+O10)*1000*O17</f>
        <v>-467.50609396293049</v>
      </c>
      <c r="I134" s="28">
        <f>-AB33/(O8+O10)*1000*O17</f>
        <v>-1467.2158332125512</v>
      </c>
      <c r="J134" s="28">
        <f>-AF18/(O8+O10)*1000*O17</f>
        <v>-1118.4811567328197</v>
      </c>
      <c r="K134" s="28">
        <f>-AJ34/(O8+O10)*1000*O17</f>
        <v>-1471.9312209861607</v>
      </c>
      <c r="L134" s="28">
        <f>-AJ42/(O8+O10)*1000*O17</f>
        <v>-122.66093508218009</v>
      </c>
      <c r="M134" s="28"/>
      <c r="N134" s="28"/>
      <c r="O134" s="28">
        <f>-Q59/(G33+G31)*G36*1000</f>
        <v>-3.063502256286681E-2</v>
      </c>
      <c r="P134" s="28"/>
      <c r="Q134" s="28"/>
      <c r="R134" s="28"/>
      <c r="S134" s="28"/>
      <c r="T134" s="28">
        <f>SUM(F134:S134)</f>
        <v>-4657.2154826305532</v>
      </c>
      <c r="U134" s="230">
        <f>T134/3.6*Y134*(O25/100)</f>
        <v>-94.330174706058656</v>
      </c>
      <c r="V134" s="26"/>
      <c r="W134" s="414">
        <v>105</v>
      </c>
      <c r="X134" s="26" t="s">
        <v>338</v>
      </c>
      <c r="Y134" s="418">
        <f>W134/$Y$100</f>
        <v>7.2916666666666671E-2</v>
      </c>
      <c r="Z134" s="75" t="s">
        <v>246</v>
      </c>
      <c r="AA134" s="26"/>
      <c r="AB134" s="28"/>
      <c r="AC134" s="26"/>
      <c r="AD134" s="26"/>
      <c r="AE134" s="26"/>
      <c r="AF134" s="26"/>
      <c r="AG134" s="26"/>
      <c r="AH134" s="26"/>
      <c r="AI134" s="26"/>
      <c r="AJ134" s="26"/>
      <c r="AK134" s="26"/>
      <c r="AL134" s="28"/>
      <c r="AM134" s="26"/>
      <c r="AN134" s="29"/>
    </row>
    <row r="135" spans="2:40">
      <c r="B135" s="34"/>
      <c r="C135" s="143"/>
      <c r="D135" s="2" t="s">
        <v>194</v>
      </c>
      <c r="E135" s="2" t="s">
        <v>781</v>
      </c>
      <c r="F135" s="28"/>
      <c r="G135" s="28"/>
      <c r="H135" s="28">
        <f>-T18/(O8+O10)*1000*O17</f>
        <v>-461.20990889953038</v>
      </c>
      <c r="I135" s="28"/>
      <c r="J135" s="28"/>
      <c r="K135" s="28"/>
      <c r="L135" s="28"/>
      <c r="M135" s="28">
        <f>-M60/(G33+G31)*G36*1000</f>
        <v>-0.25744086098654245</v>
      </c>
      <c r="N135" s="28">
        <f>-I62/(G33+G31)*G36*1000</f>
        <v>-6.4234479197107772E-2</v>
      </c>
      <c r="O135" s="28"/>
      <c r="P135" s="28">
        <f>-H73/(G33+G31)*G36*1000</f>
        <v>-4.7481086738597553E-4</v>
      </c>
      <c r="Q135" s="28"/>
      <c r="R135" s="28"/>
      <c r="S135" s="28"/>
      <c r="T135" s="28">
        <f>SUM(F135:S135)</f>
        <v>-461.53205905058144</v>
      </c>
      <c r="U135" s="230">
        <v>0</v>
      </c>
      <c r="V135" s="26"/>
      <c r="W135" s="414"/>
      <c r="X135" s="26"/>
      <c r="Y135" s="418">
        <f>W135/$Y$100</f>
        <v>0</v>
      </c>
      <c r="Z135" s="75"/>
      <c r="AA135" s="26"/>
      <c r="AB135" s="28"/>
      <c r="AC135" s="26"/>
      <c r="AD135" s="26"/>
      <c r="AE135" s="26"/>
      <c r="AF135" s="26"/>
      <c r="AG135" s="26"/>
      <c r="AH135" s="26"/>
      <c r="AI135" s="26"/>
      <c r="AJ135" s="26"/>
      <c r="AK135" s="26"/>
      <c r="AL135" s="28"/>
      <c r="AM135" s="26"/>
      <c r="AN135" s="29"/>
    </row>
    <row r="136" spans="2:40">
      <c r="B136" s="34"/>
      <c r="C136" s="143" t="s">
        <v>221</v>
      </c>
      <c r="D136" s="2" t="s">
        <v>25</v>
      </c>
      <c r="E136" s="2" t="s">
        <v>798</v>
      </c>
      <c r="F136" s="28">
        <f>G10/1000/(C7+C10)*C9*1000</f>
        <v>5.6121039436722024E-2</v>
      </c>
      <c r="G136" s="28">
        <f>K13/1000/(C7+C10)*C9*1000</f>
        <v>5.7198983721308931E-2</v>
      </c>
      <c r="H136" s="28">
        <f>-T9/1000/(O8+O10)*1000*O17</f>
        <v>-0.10977442037230078</v>
      </c>
      <c r="I136" s="28"/>
      <c r="J136" s="28"/>
      <c r="K136" s="28"/>
      <c r="L136" s="28"/>
      <c r="M136" s="28"/>
      <c r="N136" s="6"/>
      <c r="O136" s="28"/>
      <c r="P136" s="28"/>
      <c r="Q136" s="28"/>
      <c r="R136" s="28"/>
      <c r="S136" s="28"/>
      <c r="T136" s="28">
        <f>SUM(F136:S136)</f>
        <v>3.5456027857301703E-3</v>
      </c>
      <c r="U136" s="230">
        <f t="shared" ref="U136:U143" si="3">-T136*Y136</f>
        <v>-1.770339168708328E-3</v>
      </c>
      <c r="V136" s="26"/>
      <c r="W136" s="414">
        <v>719</v>
      </c>
      <c r="X136" s="26" t="s">
        <v>243</v>
      </c>
      <c r="Y136" s="418">
        <f>W136/$Y$100</f>
        <v>0.49930555555555556</v>
      </c>
      <c r="Z136" s="75" t="s">
        <v>247</v>
      </c>
      <c r="AA136" s="26"/>
      <c r="AB136" s="28"/>
      <c r="AC136" s="26"/>
      <c r="AD136" s="26"/>
      <c r="AE136" s="26"/>
      <c r="AF136" s="26"/>
      <c r="AG136" s="26"/>
      <c r="AH136" s="26"/>
      <c r="AI136" s="26"/>
      <c r="AJ136" s="26"/>
      <c r="AK136" s="26"/>
      <c r="AL136" s="28"/>
      <c r="AM136" s="26"/>
      <c r="AN136" s="29"/>
    </row>
    <row r="137" spans="2:40" ht="16.5">
      <c r="B137" s="34"/>
      <c r="C137" s="143"/>
      <c r="D137" s="2" t="s">
        <v>222</v>
      </c>
      <c r="E137" s="2" t="s">
        <v>799</v>
      </c>
      <c r="F137" s="28">
        <f>K14/(C7+C10)*C9*1000</f>
        <v>0.14299745930327232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>
        <f>SUM(F137:S137)</f>
        <v>0.14299745930327232</v>
      </c>
      <c r="U137" s="230">
        <f t="shared" si="3"/>
        <v>-5.8258224160592426E-2</v>
      </c>
      <c r="V137" s="26"/>
      <c r="W137" s="414">
        <f>11000/18.75</f>
        <v>586.66666666666663</v>
      </c>
      <c r="X137" s="113" t="s">
        <v>574</v>
      </c>
      <c r="Y137" s="418">
        <f>W137/$Y$100</f>
        <v>0.40740740740740738</v>
      </c>
      <c r="Z137" s="75" t="s">
        <v>580</v>
      </c>
      <c r="AA137" s="233"/>
      <c r="AB137" s="28"/>
      <c r="AC137" s="26"/>
      <c r="AD137" s="26"/>
      <c r="AE137" s="26"/>
      <c r="AF137" s="26"/>
      <c r="AG137" s="26"/>
      <c r="AH137" s="26"/>
      <c r="AI137" s="26"/>
      <c r="AJ137" s="26"/>
      <c r="AK137" s="26"/>
      <c r="AL137" s="28"/>
      <c r="AM137" s="26"/>
      <c r="AN137" s="29"/>
    </row>
    <row r="138" spans="2:40">
      <c r="B138" s="34"/>
      <c r="C138" s="74"/>
      <c r="D138" s="2" t="s">
        <v>262</v>
      </c>
      <c r="E138" s="2" t="s">
        <v>802</v>
      </c>
      <c r="F138" s="28"/>
      <c r="G138" s="28"/>
      <c r="H138" s="28"/>
      <c r="I138" s="28">
        <f>X24/(O8+O10)*1000*O17</f>
        <v>1.275857448327232</v>
      </c>
      <c r="J138" s="28"/>
      <c r="K138" s="28"/>
      <c r="L138" s="28">
        <f>-AF27/(O8+O10)*1000*O17</f>
        <v>-3.8067354771070046E-2</v>
      </c>
      <c r="M138" s="28"/>
      <c r="N138" s="28"/>
      <c r="O138" s="28"/>
      <c r="P138" s="28"/>
      <c r="Q138" s="28"/>
      <c r="R138" s="28"/>
      <c r="S138" s="28"/>
      <c r="T138" s="28">
        <f t="shared" ref="T138:T143" si="4">SUM(F138:S138)</f>
        <v>1.2377900935561619</v>
      </c>
      <c r="U138" s="230">
        <f t="shared" si="3"/>
        <v>-1021.1768271838336</v>
      </c>
      <c r="V138" s="26"/>
      <c r="W138" s="414"/>
      <c r="X138" s="26"/>
      <c r="Y138" s="418">
        <v>825</v>
      </c>
      <c r="Z138" s="75" t="s">
        <v>249</v>
      </c>
      <c r="AA138" s="26"/>
      <c r="AB138" s="28"/>
      <c r="AC138" s="26"/>
      <c r="AD138" s="26"/>
      <c r="AE138" s="26"/>
      <c r="AF138" s="26"/>
      <c r="AG138" s="26"/>
      <c r="AH138" s="26"/>
      <c r="AI138" s="26"/>
      <c r="AJ138" s="26"/>
      <c r="AK138" s="26"/>
      <c r="AL138" s="28"/>
      <c r="AM138" s="26"/>
      <c r="AN138" s="29"/>
    </row>
    <row r="139" spans="2:40">
      <c r="B139" s="34"/>
      <c r="C139" s="74"/>
      <c r="D139" s="2" t="s">
        <v>565</v>
      </c>
      <c r="E139" s="2" t="s">
        <v>566</v>
      </c>
      <c r="F139" s="28"/>
      <c r="G139" s="28"/>
      <c r="H139" s="28"/>
      <c r="I139" s="28">
        <f>X29/(O8+O10)*1000*O17</f>
        <v>0.76554486760527718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>
        <f t="shared" si="4"/>
        <v>0.76554486760527718</v>
      </c>
      <c r="U139" s="230">
        <f t="shared" si="3"/>
        <v>-0.43140327148006674</v>
      </c>
      <c r="V139" s="26"/>
      <c r="W139" s="414">
        <v>811.47524752475238</v>
      </c>
      <c r="X139" s="26" t="s">
        <v>576</v>
      </c>
      <c r="Y139" s="418">
        <f>W139/$Y$100</f>
        <v>0.5635244774477447</v>
      </c>
      <c r="Z139" s="75" t="s">
        <v>249</v>
      </c>
      <c r="AA139" s="26"/>
      <c r="AB139" s="28"/>
      <c r="AC139" s="26"/>
      <c r="AD139" s="26"/>
      <c r="AE139" s="26"/>
      <c r="AF139" s="26"/>
      <c r="AG139" s="26"/>
      <c r="AH139" s="26"/>
      <c r="AI139" s="26"/>
      <c r="AJ139" s="26"/>
      <c r="AK139" s="26"/>
      <c r="AL139" s="28"/>
      <c r="AM139" s="26"/>
      <c r="AN139" s="29"/>
    </row>
    <row r="140" spans="2:40" ht="16.5">
      <c r="B140" s="34"/>
      <c r="C140" s="74"/>
      <c r="D140" s="2" t="s">
        <v>577</v>
      </c>
      <c r="E140" s="2" t="s">
        <v>799</v>
      </c>
      <c r="F140" s="28"/>
      <c r="G140" s="28"/>
      <c r="H140" s="28"/>
      <c r="I140" s="28">
        <f>X26*24/(O8+O10)*1000*O17</f>
        <v>5.8128318283304665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>
        <f t="shared" si="4"/>
        <v>5.8128318283304665</v>
      </c>
      <c r="U140" s="230">
        <f t="shared" si="3"/>
        <v>-4.6502654626643736</v>
      </c>
      <c r="V140" s="26"/>
      <c r="W140" s="414"/>
      <c r="X140" s="26"/>
      <c r="Y140" s="418">
        <f>800/1000</f>
        <v>0.8</v>
      </c>
      <c r="Z140" s="75" t="s">
        <v>248</v>
      </c>
      <c r="AA140" s="233" t="s">
        <v>578</v>
      </c>
      <c r="AB140" s="28"/>
      <c r="AC140" s="26"/>
      <c r="AD140" s="26"/>
      <c r="AE140" s="26"/>
      <c r="AF140" s="26"/>
      <c r="AG140" s="26"/>
      <c r="AH140" s="26"/>
      <c r="AI140" s="26"/>
      <c r="AJ140" s="26"/>
      <c r="AK140" s="26"/>
      <c r="AL140" s="28"/>
      <c r="AM140" s="26"/>
      <c r="AN140" s="29"/>
    </row>
    <row r="141" spans="2:40" ht="16.5">
      <c r="B141" s="34"/>
      <c r="C141" s="143"/>
      <c r="D141" s="2" t="s">
        <v>224</v>
      </c>
      <c r="E141" s="2" t="s">
        <v>799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>
        <f t="shared" si="4"/>
        <v>0</v>
      </c>
      <c r="U141" s="230">
        <f t="shared" si="3"/>
        <v>0</v>
      </c>
      <c r="V141" s="26"/>
      <c r="W141" s="432">
        <v>2639</v>
      </c>
      <c r="X141" t="s">
        <v>579</v>
      </c>
      <c r="Y141" s="418">
        <f>W141/$Y$100</f>
        <v>1.8326388888888889</v>
      </c>
      <c r="Z141" s="75" t="s">
        <v>248</v>
      </c>
      <c r="AA141" s="26"/>
      <c r="AB141" s="28"/>
      <c r="AC141" s="26"/>
      <c r="AD141" s="26"/>
      <c r="AE141" s="26"/>
      <c r="AF141" s="26"/>
      <c r="AG141" s="26"/>
      <c r="AH141" s="26"/>
      <c r="AI141" s="26"/>
      <c r="AJ141" s="26"/>
      <c r="AK141" s="2"/>
      <c r="AL141" s="2"/>
      <c r="AM141" s="2"/>
      <c r="AN141" s="29"/>
    </row>
    <row r="142" spans="2:40" ht="16.5">
      <c r="B142" s="34"/>
      <c r="C142" s="143"/>
      <c r="D142" s="2" t="s">
        <v>614</v>
      </c>
      <c r="E142" s="26" t="s">
        <v>801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>
        <f t="shared" si="4"/>
        <v>0</v>
      </c>
      <c r="U142" s="230">
        <f t="shared" si="3"/>
        <v>0</v>
      </c>
      <c r="V142" s="26"/>
      <c r="W142" s="414"/>
      <c r="X142" s="225"/>
      <c r="Y142" s="404">
        <v>1.4</v>
      </c>
      <c r="Z142" s="75" t="s">
        <v>248</v>
      </c>
      <c r="AA142" s="26"/>
      <c r="AB142" s="28"/>
      <c r="AC142" s="26"/>
      <c r="AD142" s="26"/>
      <c r="AE142" s="26"/>
      <c r="AF142" s="26"/>
      <c r="AG142" s="26"/>
      <c r="AH142" s="26"/>
      <c r="AI142" s="26"/>
      <c r="AJ142" s="26"/>
      <c r="AK142" s="2"/>
      <c r="AL142" s="2"/>
      <c r="AM142" s="2"/>
      <c r="AN142" s="29"/>
    </row>
    <row r="143" spans="2:40" ht="16.5">
      <c r="B143" s="34"/>
      <c r="C143" s="74"/>
      <c r="D143" s="2" t="s">
        <v>615</v>
      </c>
      <c r="E143" s="7" t="s">
        <v>801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>
        <f t="shared" si="4"/>
        <v>0</v>
      </c>
      <c r="U143" s="230">
        <f t="shared" si="3"/>
        <v>0</v>
      </c>
      <c r="V143" s="26"/>
      <c r="W143" s="415"/>
      <c r="X143" s="28"/>
      <c r="Y143" s="418">
        <f>(0.18+0.3)/2</f>
        <v>0.24</v>
      </c>
      <c r="Z143" s="75" t="s">
        <v>248</v>
      </c>
      <c r="AA143" s="26"/>
      <c r="AB143" s="28"/>
      <c r="AC143" s="26"/>
      <c r="AD143" s="26"/>
      <c r="AE143" s="26"/>
      <c r="AF143" s="26"/>
      <c r="AG143" s="26"/>
      <c r="AH143" s="26"/>
      <c r="AI143" s="26"/>
      <c r="AJ143" s="26"/>
      <c r="AK143" s="26"/>
      <c r="AL143" s="28"/>
      <c r="AM143" s="26"/>
      <c r="AN143" s="29"/>
    </row>
    <row r="144" spans="2:40">
      <c r="B144" s="34"/>
      <c r="C144" s="143" t="s">
        <v>225</v>
      </c>
      <c r="D144" s="2" t="s">
        <v>226</v>
      </c>
      <c r="E144" s="2" t="s">
        <v>802</v>
      </c>
      <c r="F144" s="28"/>
      <c r="G144" s="28"/>
      <c r="H144" s="28"/>
      <c r="I144" s="28">
        <f>AF29/(O8+O10)*1000*O17</f>
        <v>0.13971289865565559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>
        <f>SUM(F144:S144)</f>
        <v>0.13971289865565559</v>
      </c>
      <c r="U144" s="230">
        <f>-T144*Y144</f>
        <v>-10.672513091751467</v>
      </c>
      <c r="V144" s="26"/>
      <c r="W144" s="414">
        <v>110000</v>
      </c>
      <c r="X144" s="26" t="s">
        <v>245</v>
      </c>
      <c r="Y144" s="418">
        <f>W144/$Y$100</f>
        <v>76.388888888888886</v>
      </c>
      <c r="Z144" s="75" t="s">
        <v>247</v>
      </c>
      <c r="AA144" s="26"/>
      <c r="AB144" s="28"/>
      <c r="AC144" s="26"/>
      <c r="AD144" s="26"/>
      <c r="AE144" s="26"/>
      <c r="AF144" s="26"/>
      <c r="AG144" s="26"/>
      <c r="AH144" s="26"/>
      <c r="AI144" s="26"/>
      <c r="AJ144" s="26"/>
      <c r="AK144" s="26"/>
      <c r="AL144" s="28"/>
      <c r="AM144" s="26"/>
      <c r="AN144" s="29"/>
    </row>
    <row r="145" spans="2:40">
      <c r="B145" s="34"/>
      <c r="C145" s="143"/>
      <c r="D145" s="2" t="s">
        <v>188</v>
      </c>
      <c r="E145" s="2" t="s">
        <v>802</v>
      </c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>
        <f>SUM(F145:S145)</f>
        <v>0</v>
      </c>
      <c r="U145" s="230">
        <f>-T145*Y145</f>
        <v>0</v>
      </c>
      <c r="V145" s="26"/>
      <c r="W145" s="414">
        <v>110000</v>
      </c>
      <c r="X145" s="26" t="s">
        <v>245</v>
      </c>
      <c r="Y145" s="418">
        <f>W145/$Y$100</f>
        <v>76.388888888888886</v>
      </c>
      <c r="Z145" s="75" t="s">
        <v>249</v>
      </c>
      <c r="AA145" s="26"/>
      <c r="AB145" s="28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9"/>
    </row>
    <row r="146" spans="2:40">
      <c r="B146" s="34"/>
      <c r="C146" s="143"/>
      <c r="D146" s="2" t="s">
        <v>228</v>
      </c>
      <c r="E146" s="2" t="s">
        <v>798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>
        <f>SUM(F146:S146)</f>
        <v>0</v>
      </c>
      <c r="U146" s="230">
        <f>-T146*Y146</f>
        <v>0</v>
      </c>
      <c r="V146" s="26"/>
      <c r="W146" s="414">
        <v>278</v>
      </c>
      <c r="X146" s="26" t="s">
        <v>243</v>
      </c>
      <c r="Y146" s="418">
        <f>W146/$Y$100</f>
        <v>0.19305555555555556</v>
      </c>
      <c r="Z146" s="75" t="s">
        <v>247</v>
      </c>
      <c r="AA146" s="28"/>
      <c r="AB146" s="28" t="s">
        <v>84</v>
      </c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9"/>
    </row>
    <row r="147" spans="2:40" ht="16.5">
      <c r="B147" s="34"/>
      <c r="C147" s="144" t="s">
        <v>229</v>
      </c>
      <c r="D147" s="145" t="s">
        <v>568</v>
      </c>
      <c r="E147" s="145" t="s">
        <v>802</v>
      </c>
      <c r="F147" s="77"/>
      <c r="G147" s="77"/>
      <c r="H147" s="77"/>
      <c r="I147" s="77"/>
      <c r="J147" s="77"/>
      <c r="K147" s="77">
        <f>AF25/(O8+O10)*1000*O17</f>
        <v>1.4067359965158506</v>
      </c>
      <c r="L147" s="77"/>
      <c r="M147" s="77"/>
      <c r="N147" s="77"/>
      <c r="O147" s="77"/>
      <c r="P147" s="77"/>
      <c r="Q147" s="77"/>
      <c r="R147" s="77"/>
      <c r="S147" s="77"/>
      <c r="T147" s="77">
        <f>SUM(F147:S147)</f>
        <v>1.4067359965158506</v>
      </c>
      <c r="U147" s="231">
        <f>T147*Y147*(N25/100)</f>
        <v>1575.5443160977527</v>
      </c>
      <c r="V147" s="26"/>
      <c r="W147" s="416"/>
      <c r="X147" s="81"/>
      <c r="Y147" s="405">
        <f>(800+2000)/2*0.8</f>
        <v>1120</v>
      </c>
      <c r="Z147" s="78" t="s">
        <v>249</v>
      </c>
      <c r="AA147" s="226" t="s">
        <v>581</v>
      </c>
      <c r="AB147" s="26" t="s">
        <v>84</v>
      </c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9"/>
    </row>
    <row r="148" spans="2:40">
      <c r="B148" s="34"/>
      <c r="C148" s="26"/>
      <c r="D148" s="26"/>
      <c r="E148" s="26"/>
      <c r="F148" s="26"/>
      <c r="G148" s="28"/>
      <c r="H148" s="26"/>
      <c r="I148" s="26"/>
      <c r="J148" s="28"/>
      <c r="K148" s="26"/>
      <c r="L148" s="26"/>
      <c r="M148" s="26"/>
      <c r="N148" s="28"/>
      <c r="O148" s="26"/>
      <c r="P148" s="26"/>
      <c r="Q148" s="26"/>
      <c r="R148" s="27" t="s">
        <v>616</v>
      </c>
      <c r="S148" s="27" t="s">
        <v>104</v>
      </c>
      <c r="T148" s="27">
        <f>T134</f>
        <v>-4657.2154826305532</v>
      </c>
      <c r="U148" s="27" t="s">
        <v>781</v>
      </c>
      <c r="V148" s="26"/>
      <c r="W148" s="28"/>
      <c r="X148" s="26"/>
      <c r="Y148" s="27"/>
      <c r="Z148" s="26"/>
      <c r="AA148" s="28"/>
      <c r="AB148" s="28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9"/>
    </row>
    <row r="149" spans="2:40">
      <c r="B149" s="34"/>
      <c r="C149" s="26"/>
      <c r="D149" s="26"/>
      <c r="E149" s="26"/>
      <c r="F149" s="26"/>
      <c r="G149" s="28"/>
      <c r="H149" s="26"/>
      <c r="I149" s="26"/>
      <c r="J149" s="26"/>
      <c r="K149" s="28"/>
      <c r="L149" s="26"/>
      <c r="M149" s="26"/>
      <c r="N149" s="26"/>
      <c r="O149" s="28"/>
      <c r="P149" s="26"/>
      <c r="Q149" s="26"/>
      <c r="R149" s="27"/>
      <c r="S149" s="27"/>
      <c r="T149" s="6">
        <f>T148/1000</f>
        <v>-4.6572154826305532</v>
      </c>
      <c r="U149" s="27" t="s">
        <v>783</v>
      </c>
      <c r="V149" s="26"/>
      <c r="W149" s="26"/>
      <c r="X149" s="28"/>
      <c r="Y149" s="27"/>
      <c r="Z149" s="26"/>
      <c r="AA149" s="26"/>
      <c r="AB149" s="28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9"/>
    </row>
    <row r="150" spans="2:40">
      <c r="B150" s="34"/>
      <c r="C150" s="26"/>
      <c r="D150" s="26"/>
      <c r="E150" s="26"/>
      <c r="F150" s="26"/>
      <c r="G150" s="28"/>
      <c r="H150" s="26"/>
      <c r="I150" s="26"/>
      <c r="J150" s="26"/>
      <c r="K150" s="28"/>
      <c r="L150" s="26"/>
      <c r="M150" s="26"/>
      <c r="N150" s="26"/>
      <c r="O150" s="28"/>
      <c r="P150" s="26"/>
      <c r="Q150" s="26"/>
      <c r="R150" s="27"/>
      <c r="S150" s="27" t="s">
        <v>194</v>
      </c>
      <c r="T150" s="27">
        <f>T135</f>
        <v>-461.53205905058144</v>
      </c>
      <c r="U150" s="27" t="s">
        <v>781</v>
      </c>
      <c r="V150" s="26"/>
      <c r="W150" s="26"/>
      <c r="X150" s="28"/>
      <c r="Y150" s="27"/>
      <c r="Z150" s="26"/>
      <c r="AA150" s="26"/>
      <c r="AB150" s="28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9"/>
    </row>
    <row r="151" spans="2:40">
      <c r="B151" s="34"/>
      <c r="C151" s="26"/>
      <c r="D151" s="26"/>
      <c r="E151" s="26"/>
      <c r="F151" s="26"/>
      <c r="G151" s="28"/>
      <c r="H151" s="26"/>
      <c r="I151" s="26"/>
      <c r="J151" s="26"/>
      <c r="K151" s="28"/>
      <c r="L151" s="26"/>
      <c r="M151" s="26"/>
      <c r="N151" s="26"/>
      <c r="O151" s="28"/>
      <c r="P151" s="26"/>
      <c r="Q151" s="26"/>
      <c r="R151" s="27"/>
      <c r="S151" s="27"/>
      <c r="T151" s="6">
        <f>T150/1000</f>
        <v>-0.46153205905058142</v>
      </c>
      <c r="U151" s="27" t="s">
        <v>783</v>
      </c>
      <c r="V151" s="26"/>
      <c r="W151" s="26"/>
      <c r="X151" s="28"/>
      <c r="Y151" s="27"/>
      <c r="Z151" s="26"/>
      <c r="AA151" s="26"/>
      <c r="AB151" s="28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9"/>
    </row>
    <row r="152" spans="2:40">
      <c r="B152" s="34"/>
      <c r="C152" s="26"/>
      <c r="D152" s="26"/>
      <c r="E152" s="26"/>
      <c r="F152" s="26"/>
      <c r="G152" s="28"/>
      <c r="H152" s="26"/>
      <c r="I152" s="26"/>
      <c r="J152" s="26"/>
      <c r="K152" s="28"/>
      <c r="L152" s="26"/>
      <c r="M152" s="26"/>
      <c r="N152" s="26"/>
      <c r="O152" s="28"/>
      <c r="P152" s="26"/>
      <c r="Q152" s="26"/>
      <c r="R152" s="27"/>
      <c r="S152" s="6" t="s">
        <v>732</v>
      </c>
      <c r="T152" s="27">
        <f>SUM(T148,T150)</f>
        <v>-5118.7475416811349</v>
      </c>
      <c r="U152" s="27" t="s">
        <v>781</v>
      </c>
      <c r="V152" s="26"/>
      <c r="W152" s="26"/>
      <c r="X152" s="28"/>
      <c r="Y152" s="27"/>
      <c r="Z152" s="26"/>
      <c r="AA152" s="26"/>
      <c r="AB152" s="28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9"/>
    </row>
    <row r="153" spans="2:40">
      <c r="B153" s="34"/>
      <c r="C153" s="26"/>
      <c r="D153" s="26"/>
      <c r="E153" s="26"/>
      <c r="F153" s="26"/>
      <c r="G153" s="28"/>
      <c r="H153" s="26"/>
      <c r="I153" s="26"/>
      <c r="J153" s="26"/>
      <c r="K153" s="28"/>
      <c r="L153" s="26"/>
      <c r="M153" s="26"/>
      <c r="N153" s="26"/>
      <c r="O153" s="28"/>
      <c r="P153" s="26"/>
      <c r="Q153" s="26"/>
      <c r="R153" s="27"/>
      <c r="S153" s="27"/>
      <c r="T153" s="6">
        <f>SUM(T149,T151)</f>
        <v>-5.1187475416811345</v>
      </c>
      <c r="U153" s="27" t="s">
        <v>783</v>
      </c>
      <c r="V153" s="26"/>
      <c r="W153" s="26"/>
      <c r="X153" s="28"/>
      <c r="Y153" s="27"/>
      <c r="Z153" s="26"/>
      <c r="AA153" s="26"/>
      <c r="AB153" s="28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9"/>
    </row>
    <row r="154" spans="2:40" ht="15.75" thickBot="1">
      <c r="B154" s="61"/>
      <c r="C154" s="62"/>
      <c r="D154" s="62"/>
      <c r="E154" s="62"/>
      <c r="F154" s="62"/>
      <c r="G154" s="63"/>
      <c r="H154" s="62"/>
      <c r="I154" s="62"/>
      <c r="J154" s="62"/>
      <c r="K154" s="63"/>
      <c r="L154" s="62"/>
      <c r="M154" s="62"/>
      <c r="N154" s="62"/>
      <c r="O154" s="63"/>
      <c r="P154" s="62"/>
      <c r="Q154" s="62"/>
      <c r="R154" s="241" t="s">
        <v>618</v>
      </c>
      <c r="S154" s="241"/>
      <c r="T154" s="241">
        <f>SUM(U134:U147)</f>
        <v>444.22310381863531</v>
      </c>
      <c r="U154" s="241" t="s">
        <v>789</v>
      </c>
      <c r="V154" s="62"/>
      <c r="W154" s="62"/>
      <c r="X154" s="63"/>
      <c r="Y154" s="241"/>
      <c r="Z154" s="62"/>
      <c r="AA154" s="62"/>
      <c r="AB154" s="63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4"/>
    </row>
    <row r="157" spans="2:40" ht="15.75" thickBot="1">
      <c r="B157" s="4" t="s">
        <v>777</v>
      </c>
    </row>
    <row r="158" spans="2:40">
      <c r="B158" s="68"/>
      <c r="C158" s="21"/>
      <c r="D158" s="19"/>
      <c r="E158" s="19"/>
      <c r="F158" s="19"/>
      <c r="G158" s="21"/>
      <c r="H158" s="19"/>
      <c r="I158" s="19"/>
      <c r="J158" s="19"/>
      <c r="K158" s="21"/>
      <c r="L158" s="19"/>
      <c r="M158" s="19"/>
      <c r="N158" s="19"/>
      <c r="O158" s="19"/>
      <c r="P158" s="21"/>
      <c r="Q158" s="19"/>
      <c r="R158" s="19"/>
      <c r="S158" s="19"/>
      <c r="T158" s="21"/>
      <c r="U158" s="19"/>
      <c r="V158" s="19"/>
      <c r="W158" s="19"/>
      <c r="X158" s="21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22"/>
    </row>
    <row r="159" spans="2:40">
      <c r="B159" s="34"/>
      <c r="C159" s="118" t="s">
        <v>191</v>
      </c>
      <c r="D159" s="26"/>
      <c r="E159" s="26"/>
      <c r="F159" s="26"/>
      <c r="G159" s="26"/>
      <c r="H159" s="26"/>
      <c r="I159" s="26"/>
      <c r="J159" s="26"/>
      <c r="K159" s="28"/>
      <c r="L159" s="26"/>
      <c r="M159" s="26"/>
      <c r="N159" s="26"/>
      <c r="O159" s="28"/>
      <c r="P159" s="26"/>
      <c r="Q159" s="26"/>
      <c r="R159" s="26"/>
      <c r="S159" s="26"/>
      <c r="T159" s="26"/>
      <c r="U159" s="26"/>
      <c r="V159" s="26"/>
      <c r="W159" s="290" t="s">
        <v>212</v>
      </c>
      <c r="X159" s="291"/>
      <c r="Y159" s="420">
        <v>1440</v>
      </c>
      <c r="Z159" s="293" t="s">
        <v>575</v>
      </c>
      <c r="AA159" s="33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9"/>
    </row>
    <row r="160" spans="2:40">
      <c r="B160" s="34"/>
      <c r="C160" s="115"/>
      <c r="D160" s="114"/>
      <c r="E160" s="114"/>
      <c r="F160" s="140" t="s">
        <v>231</v>
      </c>
      <c r="G160" s="140"/>
      <c r="H160" s="140" t="s">
        <v>232</v>
      </c>
      <c r="I160" s="140"/>
      <c r="J160" s="140"/>
      <c r="K160" s="140" t="s">
        <v>569</v>
      </c>
      <c r="L160" s="140"/>
      <c r="M160" s="140" t="s">
        <v>233</v>
      </c>
      <c r="N160" s="140"/>
      <c r="O160" s="140"/>
      <c r="P160" s="140"/>
      <c r="Q160" s="140"/>
      <c r="R160" s="140"/>
      <c r="S160" s="140" t="s">
        <v>213</v>
      </c>
      <c r="T160" s="140" t="s">
        <v>234</v>
      </c>
      <c r="U160" s="116" t="s">
        <v>242</v>
      </c>
      <c r="V160" s="26"/>
      <c r="W160" s="295" t="s">
        <v>656</v>
      </c>
      <c r="X160" s="79"/>
      <c r="Y160" s="79"/>
      <c r="Z160" s="71"/>
      <c r="AA160" s="28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9"/>
    </row>
    <row r="161" spans="2:40" ht="15.75" thickBot="1">
      <c r="B161" s="34"/>
      <c r="C161" s="141"/>
      <c r="D161" s="142"/>
      <c r="E161" s="142" t="s">
        <v>219</v>
      </c>
      <c r="F161" s="142" t="s">
        <v>239</v>
      </c>
      <c r="G161" s="142" t="s">
        <v>240</v>
      </c>
      <c r="H161" s="142" t="s">
        <v>258</v>
      </c>
      <c r="I161" s="142" t="s">
        <v>564</v>
      </c>
      <c r="J161" s="142" t="s">
        <v>161</v>
      </c>
      <c r="K161" s="142" t="s">
        <v>570</v>
      </c>
      <c r="L161" s="142" t="s">
        <v>161</v>
      </c>
      <c r="M161" s="142" t="s">
        <v>236</v>
      </c>
      <c r="N161" s="142" t="s">
        <v>237</v>
      </c>
      <c r="O161" s="142" t="s">
        <v>197</v>
      </c>
      <c r="P161" s="142" t="s">
        <v>257</v>
      </c>
      <c r="Q161" s="142" t="s">
        <v>238</v>
      </c>
      <c r="R161" s="142" t="s">
        <v>115</v>
      </c>
      <c r="S161" s="142" t="s">
        <v>239</v>
      </c>
      <c r="T161" s="142"/>
      <c r="U161" s="117"/>
      <c r="V161" s="26"/>
      <c r="W161" s="296" t="s">
        <v>241</v>
      </c>
      <c r="X161" s="294" t="s">
        <v>219</v>
      </c>
      <c r="Y161" s="294" t="s">
        <v>241</v>
      </c>
      <c r="Z161" s="297" t="s">
        <v>219</v>
      </c>
      <c r="AA161" s="26"/>
      <c r="AB161" s="28"/>
      <c r="AC161" s="26"/>
      <c r="AD161" s="26"/>
      <c r="AE161" s="26"/>
      <c r="AF161" s="26"/>
      <c r="AG161" s="26"/>
      <c r="AH161" s="26"/>
      <c r="AI161" s="26"/>
      <c r="AJ161" s="26"/>
      <c r="AK161" s="26"/>
      <c r="AL161" s="28"/>
      <c r="AM161" s="26"/>
      <c r="AN161" s="29"/>
    </row>
    <row r="162" spans="2:40" ht="17.25" thickTop="1">
      <c r="B162" s="34"/>
      <c r="C162" s="143" t="s">
        <v>220</v>
      </c>
      <c r="D162" s="2" t="s">
        <v>104</v>
      </c>
      <c r="E162" s="2" t="s">
        <v>781</v>
      </c>
      <c r="F162" s="28">
        <f>-G16/(C7+C10)*C12*1000</f>
        <v>-2.1090583897121737</v>
      </c>
      <c r="G162" s="28">
        <f>-SUM(K18:K19)</f>
        <v>-3129.2</v>
      </c>
      <c r="H162" s="28">
        <f>-(T21+T38)/(O8+O10)*1000*O16</f>
        <v>-0.48010150041052546</v>
      </c>
      <c r="I162" s="28">
        <f>-AB33/(O8+O10)*1000*O16</f>
        <v>-1.5067451142300605</v>
      </c>
      <c r="J162" s="28"/>
      <c r="K162" s="28"/>
      <c r="L162" s="28"/>
      <c r="M162" s="28"/>
      <c r="N162" s="28"/>
      <c r="O162" s="28">
        <f>-Q59/(G33+G31)*G37*1000</f>
        <v>-1.0838155200753476</v>
      </c>
      <c r="P162" s="28"/>
      <c r="Q162" s="28">
        <f>-M83/(G33+G31)*G37*1000</f>
        <v>-10.580785279252185</v>
      </c>
      <c r="R162" s="28">
        <f>Q76/(G33+G31)*G37*1000</f>
        <v>3725.4714098968066</v>
      </c>
      <c r="S162" s="28">
        <f>-U82/(G33+G31)*G37*1000</f>
        <v>-8.5854940558148183</v>
      </c>
      <c r="T162" s="28">
        <f>SUM(F162:S162)</f>
        <v>571.92541003731174</v>
      </c>
      <c r="U162" s="230">
        <f>T162/3.6*Y162*(O25/100)</f>
        <v>11.584137356079811</v>
      </c>
      <c r="V162" s="26"/>
      <c r="W162" s="414">
        <v>105</v>
      </c>
      <c r="X162" s="26" t="s">
        <v>338</v>
      </c>
      <c r="Y162" s="418">
        <f>W162/$Y$100</f>
        <v>7.2916666666666671E-2</v>
      </c>
      <c r="Z162" s="75" t="s">
        <v>246</v>
      </c>
      <c r="AA162" s="26"/>
      <c r="AB162" s="28"/>
      <c r="AC162" s="26"/>
      <c r="AD162" s="26"/>
      <c r="AE162" s="26"/>
      <c r="AF162" s="26"/>
      <c r="AG162" s="26"/>
      <c r="AH162" s="26"/>
      <c r="AI162" s="26"/>
      <c r="AJ162" s="26"/>
      <c r="AK162" s="26"/>
      <c r="AL162" s="28"/>
      <c r="AM162" s="26"/>
      <c r="AN162" s="29"/>
    </row>
    <row r="163" spans="2:40">
      <c r="B163" s="34"/>
      <c r="C163" s="143"/>
      <c r="D163" s="2" t="s">
        <v>194</v>
      </c>
      <c r="E163" s="2" t="s">
        <v>781</v>
      </c>
      <c r="F163" s="28"/>
      <c r="G163" s="28"/>
      <c r="H163" s="28">
        <f>-T18/(O8+O10)*1000*O16</f>
        <v>-0.47363568545145796</v>
      </c>
      <c r="I163" s="28"/>
      <c r="J163" s="28"/>
      <c r="K163" s="28"/>
      <c r="L163" s="28"/>
      <c r="M163" s="28">
        <f>-M60/(G33+G31)*G37*1000</f>
        <v>-9.1078242252374704</v>
      </c>
      <c r="N163" s="28">
        <f>-I62/(G33+G31)*G37*1000</f>
        <v>-2.272507726570697</v>
      </c>
      <c r="O163" s="28"/>
      <c r="P163" s="28"/>
      <c r="Q163" s="28"/>
      <c r="R163" s="28">
        <f>Q78/(G33+G31)*G37*1000</f>
        <v>6209.1190164946775</v>
      </c>
      <c r="S163" s="28"/>
      <c r="T163" s="28">
        <f>SUM(F163:S163)</f>
        <v>6197.2650488574182</v>
      </c>
      <c r="U163" s="230">
        <v>0</v>
      </c>
      <c r="V163" s="26"/>
      <c r="W163" s="414"/>
      <c r="X163" s="26"/>
      <c r="Y163" s="418">
        <f>W163/$Y$100</f>
        <v>0</v>
      </c>
      <c r="Z163" s="75"/>
      <c r="AA163" s="26"/>
      <c r="AB163" s="28"/>
      <c r="AC163" s="26"/>
      <c r="AD163" s="26"/>
      <c r="AE163" s="26"/>
      <c r="AF163" s="26"/>
      <c r="AG163" s="26"/>
      <c r="AH163" s="26"/>
      <c r="AI163" s="26"/>
      <c r="AJ163" s="26"/>
      <c r="AK163" s="26"/>
      <c r="AL163" s="28"/>
      <c r="AM163" s="26"/>
      <c r="AN163" s="29"/>
    </row>
    <row r="164" spans="2:40">
      <c r="B164" s="34"/>
      <c r="C164" s="143" t="s">
        <v>221</v>
      </c>
      <c r="D164" s="2" t="s">
        <v>25</v>
      </c>
      <c r="E164" s="2" t="s">
        <v>798</v>
      </c>
      <c r="F164" s="28">
        <f>G10/1000</f>
        <v>20.209199999999999</v>
      </c>
      <c r="G164" s="28">
        <f>K13/1000</f>
        <v>20.597367999999999</v>
      </c>
      <c r="H164" s="28">
        <f>-T9/1000/(O8+O10)*1000*O16</f>
        <v>-1.1273192929035119E-4</v>
      </c>
      <c r="I164" s="28"/>
      <c r="J164" s="28"/>
      <c r="K164" s="28"/>
      <c r="L164" s="28"/>
      <c r="M164" s="28"/>
      <c r="N164" s="6"/>
      <c r="O164" s="28"/>
      <c r="P164" s="28">
        <f>-H73/(G33+G31)*G37*1000</f>
        <v>-1.6798009079879758E-2</v>
      </c>
      <c r="Q164" s="28"/>
      <c r="R164" s="28"/>
      <c r="S164" s="28"/>
      <c r="T164" s="28">
        <f>SUM(F164:S164)</f>
        <v>40.789657258990829</v>
      </c>
      <c r="U164" s="230">
        <f t="shared" ref="U164:U171" si="5">-T164*Y164</f>
        <v>-20.366502478621115</v>
      </c>
      <c r="V164" s="26"/>
      <c r="W164" s="414">
        <v>719</v>
      </c>
      <c r="X164" s="26" t="s">
        <v>243</v>
      </c>
      <c r="Y164" s="418">
        <f>W164/$Y$100</f>
        <v>0.49930555555555556</v>
      </c>
      <c r="Z164" s="75" t="s">
        <v>247</v>
      </c>
      <c r="AA164" s="26"/>
      <c r="AB164" s="28"/>
      <c r="AC164" s="26"/>
      <c r="AD164" s="26"/>
      <c r="AE164" s="26"/>
      <c r="AF164" s="26"/>
      <c r="AG164" s="26"/>
      <c r="AH164" s="26"/>
      <c r="AI164" s="26"/>
      <c r="AJ164" s="26"/>
      <c r="AK164" s="26"/>
      <c r="AL164" s="28"/>
      <c r="AM164" s="26"/>
      <c r="AN164" s="29"/>
    </row>
    <row r="165" spans="2:40" ht="16.5">
      <c r="B165" s="34"/>
      <c r="C165" s="143"/>
      <c r="D165" s="2" t="s">
        <v>222</v>
      </c>
      <c r="E165" s="2" t="s">
        <v>799</v>
      </c>
      <c r="F165" s="28">
        <f>K14</f>
        <v>51.49342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>
        <f>SUM(F165:S165)</f>
        <v>51.49342</v>
      </c>
      <c r="U165" s="230">
        <f t="shared" si="5"/>
        <v>-20.978800740740741</v>
      </c>
      <c r="V165" s="26"/>
      <c r="W165" s="414">
        <f>11000/18.75</f>
        <v>586.66666666666663</v>
      </c>
      <c r="X165" s="113" t="s">
        <v>574</v>
      </c>
      <c r="Y165" s="418">
        <f>W165/$Y$100</f>
        <v>0.40740740740740738</v>
      </c>
      <c r="Z165" s="75" t="s">
        <v>580</v>
      </c>
      <c r="AA165" s="233"/>
      <c r="AB165" s="28"/>
      <c r="AC165" s="26"/>
      <c r="AD165" s="26"/>
      <c r="AE165" s="26"/>
      <c r="AF165" s="26"/>
      <c r="AG165" s="26"/>
      <c r="AH165" s="26"/>
      <c r="AI165" s="26"/>
      <c r="AJ165" s="26"/>
      <c r="AK165" s="26"/>
      <c r="AL165" s="28"/>
      <c r="AM165" s="26"/>
      <c r="AN165" s="29"/>
    </row>
    <row r="166" spans="2:40">
      <c r="B166" s="34"/>
      <c r="C166" s="74"/>
      <c r="D166" s="2" t="s">
        <v>262</v>
      </c>
      <c r="E166" s="2" t="s">
        <v>802</v>
      </c>
      <c r="F166" s="28"/>
      <c r="G166" s="28"/>
      <c r="H166" s="28"/>
      <c r="I166" s="28">
        <f>X24/(O8+O10)*1000*O16</f>
        <v>1.3102312101634726E-3</v>
      </c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>
        <f t="shared" ref="T166:T171" si="6">SUM(F166:S166)</f>
        <v>1.3102312101634726E-3</v>
      </c>
      <c r="U166" s="230">
        <f t="shared" si="5"/>
        <v>-1.080940748384865</v>
      </c>
      <c r="V166" s="26"/>
      <c r="W166" s="414"/>
      <c r="X166" s="26"/>
      <c r="Y166" s="418">
        <v>825</v>
      </c>
      <c r="Z166" s="75" t="s">
        <v>249</v>
      </c>
      <c r="AA166" s="26"/>
      <c r="AB166" s="28"/>
      <c r="AC166" s="26"/>
      <c r="AD166" s="26"/>
      <c r="AE166" s="26"/>
      <c r="AF166" s="26"/>
      <c r="AG166" s="26"/>
      <c r="AH166" s="26"/>
      <c r="AI166" s="26"/>
      <c r="AJ166" s="26"/>
      <c r="AK166" s="26"/>
      <c r="AL166" s="28"/>
      <c r="AM166" s="26"/>
      <c r="AN166" s="29"/>
    </row>
    <row r="167" spans="2:40">
      <c r="B167" s="34"/>
      <c r="C167" s="74"/>
      <c r="D167" s="2" t="s">
        <v>565</v>
      </c>
      <c r="E167" s="2" t="s">
        <v>566</v>
      </c>
      <c r="F167" s="28"/>
      <c r="G167" s="28"/>
      <c r="H167" s="28"/>
      <c r="I167" s="28">
        <f>X29/(O8+O10)*1000*O16</f>
        <v>7.8616994369706253E-4</v>
      </c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>
        <f t="shared" si="6"/>
        <v>7.8616994369706253E-4</v>
      </c>
      <c r="U167" s="230">
        <f t="shared" si="5"/>
        <v>-4.4302600670701001E-4</v>
      </c>
      <c r="V167" s="26"/>
      <c r="W167" s="414">
        <v>811.47524752475238</v>
      </c>
      <c r="X167" s="26" t="s">
        <v>576</v>
      </c>
      <c r="Y167" s="418">
        <f>W167/$Y$100</f>
        <v>0.5635244774477447</v>
      </c>
      <c r="Z167" s="75" t="s">
        <v>249</v>
      </c>
      <c r="AA167" s="26"/>
      <c r="AB167" s="28"/>
      <c r="AC167" s="26"/>
      <c r="AD167" s="26"/>
      <c r="AE167" s="26"/>
      <c r="AF167" s="26"/>
      <c r="AG167" s="26"/>
      <c r="AH167" s="26"/>
      <c r="AI167" s="26"/>
      <c r="AJ167" s="26"/>
      <c r="AK167" s="26"/>
      <c r="AL167" s="28"/>
      <c r="AM167" s="26"/>
      <c r="AN167" s="29"/>
    </row>
    <row r="168" spans="2:40" ht="16.5">
      <c r="B168" s="34"/>
      <c r="C168" s="74"/>
      <c r="D168" s="2" t="s">
        <v>577</v>
      </c>
      <c r="E168" s="2" t="s">
        <v>799</v>
      </c>
      <c r="F168" s="28"/>
      <c r="G168" s="28"/>
      <c r="H168" s="28"/>
      <c r="I168" s="28">
        <f>X26*24/(O8+O10)*1000*O16</f>
        <v>5.9694393687129118E-3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>
        <f t="shared" si="6"/>
        <v>5.9694393687129118E-3</v>
      </c>
      <c r="U168" s="230">
        <f t="shared" si="5"/>
        <v>-4.7755514949703298E-3</v>
      </c>
      <c r="V168" s="26"/>
      <c r="W168" s="414"/>
      <c r="X168" s="26"/>
      <c r="Y168" s="418">
        <f>800/1000</f>
        <v>0.8</v>
      </c>
      <c r="Z168" s="75" t="s">
        <v>248</v>
      </c>
      <c r="AA168" s="233" t="s">
        <v>578</v>
      </c>
      <c r="AB168" s="28"/>
      <c r="AC168" s="26"/>
      <c r="AD168" s="26"/>
      <c r="AE168" s="26"/>
      <c r="AF168" s="26"/>
      <c r="AG168" s="26"/>
      <c r="AH168" s="26"/>
      <c r="AI168" s="26"/>
      <c r="AJ168" s="26"/>
      <c r="AK168" s="26"/>
      <c r="AL168" s="28"/>
      <c r="AM168" s="26"/>
      <c r="AN168" s="29"/>
    </row>
    <row r="169" spans="2:40" ht="16.5">
      <c r="B169" s="34"/>
      <c r="C169" s="143"/>
      <c r="D169" s="2" t="s">
        <v>224</v>
      </c>
      <c r="E169" s="2" t="s">
        <v>799</v>
      </c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>
        <f>M74/(G33+G31)*G37*1000</f>
        <v>1.3688564990692047</v>
      </c>
      <c r="R169" s="28"/>
      <c r="S169" s="28"/>
      <c r="T169" s="28">
        <f t="shared" si="6"/>
        <v>1.3688564990692047</v>
      </c>
      <c r="U169" s="230">
        <f t="shared" si="5"/>
        <v>-2.5086196535025218</v>
      </c>
      <c r="V169" s="26"/>
      <c r="W169" s="432">
        <v>2639</v>
      </c>
      <c r="X169" t="s">
        <v>579</v>
      </c>
      <c r="Y169" s="418">
        <f>W169/$Y$100</f>
        <v>1.8326388888888889</v>
      </c>
      <c r="Z169" s="75" t="s">
        <v>248</v>
      </c>
      <c r="AA169" s="26"/>
      <c r="AB169" s="28"/>
      <c r="AC169" s="26"/>
      <c r="AD169" s="26"/>
      <c r="AE169" s="26"/>
      <c r="AF169" s="26"/>
      <c r="AG169" s="26"/>
      <c r="AH169" s="26"/>
      <c r="AI169" s="26"/>
      <c r="AJ169" s="26"/>
      <c r="AK169" s="2"/>
      <c r="AL169" s="2"/>
      <c r="AM169" s="2"/>
      <c r="AN169" s="29"/>
    </row>
    <row r="170" spans="2:40" ht="16.5">
      <c r="B170" s="34"/>
      <c r="C170" s="143"/>
      <c r="D170" s="2" t="s">
        <v>614</v>
      </c>
      <c r="E170" s="26" t="s">
        <v>801</v>
      </c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>
        <f>U78/(G33+G31)*G37*1000</f>
        <v>7.4421272942405498E-2</v>
      </c>
      <c r="T170" s="28">
        <f t="shared" si="6"/>
        <v>7.4421272942405498E-2</v>
      </c>
      <c r="U170" s="230">
        <f t="shared" si="5"/>
        <v>-0.10418978211936769</v>
      </c>
      <c r="V170" s="26"/>
      <c r="W170" s="414"/>
      <c r="X170" s="225"/>
      <c r="Y170" s="404">
        <v>1.4</v>
      </c>
      <c r="Z170" s="75" t="s">
        <v>248</v>
      </c>
      <c r="AA170" s="26"/>
      <c r="AB170" s="28"/>
      <c r="AC170" s="26"/>
      <c r="AD170" s="26"/>
      <c r="AE170" s="26"/>
      <c r="AF170" s="26"/>
      <c r="AG170" s="26"/>
      <c r="AH170" s="26"/>
      <c r="AI170" s="26"/>
      <c r="AJ170" s="26"/>
      <c r="AK170" s="2"/>
      <c r="AL170" s="2"/>
      <c r="AM170" s="2"/>
      <c r="AN170" s="29"/>
    </row>
    <row r="171" spans="2:40" ht="16.5">
      <c r="B171" s="34"/>
      <c r="C171" s="74"/>
      <c r="D171" s="2" t="s">
        <v>615</v>
      </c>
      <c r="E171" s="7" t="s">
        <v>801</v>
      </c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>
        <f>U79/(G33+G31)*G37*1000</f>
        <v>5.5815954706804116E-2</v>
      </c>
      <c r="T171" s="28">
        <f t="shared" si="6"/>
        <v>5.5815954706804116E-2</v>
      </c>
      <c r="U171" s="230">
        <f t="shared" si="5"/>
        <v>-1.3395829129632988E-2</v>
      </c>
      <c r="V171" s="26"/>
      <c r="W171" s="415"/>
      <c r="X171" s="28"/>
      <c r="Y171" s="418">
        <f>(0.18+0.3)/2</f>
        <v>0.24</v>
      </c>
      <c r="Z171" s="75" t="s">
        <v>248</v>
      </c>
      <c r="AA171" s="26"/>
      <c r="AB171" s="28"/>
      <c r="AC171" s="26"/>
      <c r="AD171" s="26"/>
      <c r="AE171" s="26"/>
      <c r="AF171" s="26"/>
      <c r="AG171" s="26"/>
      <c r="AH171" s="26"/>
      <c r="AI171" s="26"/>
      <c r="AJ171" s="26"/>
      <c r="AK171" s="26"/>
      <c r="AL171" s="28"/>
      <c r="AM171" s="26"/>
      <c r="AN171" s="29"/>
    </row>
    <row r="172" spans="2:40">
      <c r="B172" s="34"/>
      <c r="C172" s="143" t="s">
        <v>225</v>
      </c>
      <c r="D172" s="2" t="s">
        <v>226</v>
      </c>
      <c r="E172" s="2" t="s">
        <v>802</v>
      </c>
      <c r="F172" s="28"/>
      <c r="G172" s="28"/>
      <c r="H172" s="28"/>
      <c r="I172" s="28"/>
      <c r="J172" s="28"/>
      <c r="K172" s="28"/>
      <c r="L172" s="28"/>
      <c r="M172" s="28">
        <f>U90/(G33+G31)*G37*1000</f>
        <v>2.6733262955758688E-2</v>
      </c>
      <c r="N172" s="28"/>
      <c r="O172" s="28"/>
      <c r="P172" s="28"/>
      <c r="Q172" s="28"/>
      <c r="R172" s="28"/>
      <c r="S172" s="28"/>
      <c r="T172" s="28">
        <f>SUM(F172:S172)</f>
        <v>2.6733262955758688E-2</v>
      </c>
      <c r="U172" s="230">
        <f>-T172*Y172</f>
        <v>-2.0421242535648996</v>
      </c>
      <c r="V172" s="26"/>
      <c r="W172" s="414">
        <v>110000</v>
      </c>
      <c r="X172" s="26" t="s">
        <v>245</v>
      </c>
      <c r="Y172" s="418">
        <f>W172/$Y$100</f>
        <v>76.388888888888886</v>
      </c>
      <c r="Z172" s="75" t="s">
        <v>247</v>
      </c>
      <c r="AA172" s="26"/>
      <c r="AB172" s="28"/>
      <c r="AC172" s="26"/>
      <c r="AD172" s="26"/>
      <c r="AE172" s="26"/>
      <c r="AF172" s="26"/>
      <c r="AG172" s="26"/>
      <c r="AH172" s="26"/>
      <c r="AI172" s="26"/>
      <c r="AJ172" s="26"/>
      <c r="AK172" s="26"/>
      <c r="AL172" s="28"/>
      <c r="AM172" s="26"/>
      <c r="AN172" s="29"/>
    </row>
    <row r="173" spans="2:40">
      <c r="B173" s="34"/>
      <c r="C173" s="143"/>
      <c r="D173" s="2" t="s">
        <v>188</v>
      </c>
      <c r="E173" s="2" t="s">
        <v>802</v>
      </c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>
        <f>U81/(G33+G31)*G37*1000</f>
        <v>1.0440932487454784</v>
      </c>
      <c r="T173" s="28">
        <f>SUM(F173:S173)</f>
        <v>1.0440932487454784</v>
      </c>
      <c r="U173" s="230">
        <f>-T173*Y173</f>
        <v>-79.757123168057376</v>
      </c>
      <c r="V173" s="26"/>
      <c r="W173" s="414">
        <v>110000</v>
      </c>
      <c r="X173" s="26" t="s">
        <v>245</v>
      </c>
      <c r="Y173" s="418">
        <f>W173/$Y$100</f>
        <v>76.388888888888886</v>
      </c>
      <c r="Z173" s="75" t="s">
        <v>249</v>
      </c>
      <c r="AA173" s="26"/>
      <c r="AB173" s="28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9"/>
    </row>
    <row r="174" spans="2:40">
      <c r="B174" s="34"/>
      <c r="C174" s="143"/>
      <c r="D174" s="2" t="s">
        <v>228</v>
      </c>
      <c r="E174" s="2" t="s">
        <v>798</v>
      </c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>
        <f>U85/(G33+G31)*G37*1000</f>
        <v>0.63038539245864544</v>
      </c>
      <c r="T174" s="28">
        <f>SUM(F174:S174)</f>
        <v>0.63038539245864544</v>
      </c>
      <c r="U174" s="230">
        <f>-T174*Y174</f>
        <v>-0.12169940215521072</v>
      </c>
      <c r="V174" s="26"/>
      <c r="W174" s="414">
        <v>278</v>
      </c>
      <c r="X174" s="26" t="s">
        <v>243</v>
      </c>
      <c r="Y174" s="418">
        <f>W174/$Y$100</f>
        <v>0.19305555555555556</v>
      </c>
      <c r="Z174" s="75" t="s">
        <v>247</v>
      </c>
      <c r="AA174" s="28"/>
      <c r="AB174" s="28" t="s">
        <v>84</v>
      </c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9"/>
    </row>
    <row r="175" spans="2:40" ht="16.5">
      <c r="B175" s="34"/>
      <c r="C175" s="144" t="s">
        <v>229</v>
      </c>
      <c r="D175" s="145" t="s">
        <v>568</v>
      </c>
      <c r="E175" s="145" t="s">
        <v>802</v>
      </c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>
        <f>SUM(F175:S175)</f>
        <v>0</v>
      </c>
      <c r="U175" s="231">
        <f>T175*Y175</f>
        <v>0</v>
      </c>
      <c r="V175" s="26"/>
      <c r="W175" s="416"/>
      <c r="X175" s="81"/>
      <c r="Y175" s="405">
        <f>(800+2000)/2*0.8</f>
        <v>1120</v>
      </c>
      <c r="Z175" s="78" t="s">
        <v>249</v>
      </c>
      <c r="AA175" s="226" t="s">
        <v>581</v>
      </c>
      <c r="AB175" s="26" t="s">
        <v>84</v>
      </c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9"/>
    </row>
    <row r="176" spans="2:40">
      <c r="B176" s="34"/>
      <c r="C176" s="26"/>
      <c r="D176" s="26"/>
      <c r="E176" s="26"/>
      <c r="F176" s="26"/>
      <c r="G176" s="28"/>
      <c r="H176" s="26"/>
      <c r="I176" s="26"/>
      <c r="J176" s="28"/>
      <c r="K176" s="26"/>
      <c r="L176" s="26"/>
      <c r="M176" s="26"/>
      <c r="N176" s="28"/>
      <c r="O176" s="26"/>
      <c r="P176" s="26"/>
      <c r="Q176" s="26"/>
      <c r="R176" s="27" t="s">
        <v>616</v>
      </c>
      <c r="S176" s="27" t="s">
        <v>104</v>
      </c>
      <c r="T176" s="27">
        <f>T162</f>
        <v>571.92541003731174</v>
      </c>
      <c r="U176" s="27" t="s">
        <v>781</v>
      </c>
      <c r="V176" s="26"/>
      <c r="W176" s="28"/>
      <c r="X176" s="26"/>
      <c r="Y176" s="26"/>
      <c r="Z176" s="26"/>
      <c r="AA176" s="28"/>
      <c r="AB176" s="28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9"/>
    </row>
    <row r="177" spans="2:40">
      <c r="B177" s="34"/>
      <c r="C177" s="26"/>
      <c r="D177" s="26"/>
      <c r="E177" s="26"/>
      <c r="F177" s="26"/>
      <c r="G177" s="28"/>
      <c r="H177" s="26"/>
      <c r="I177" s="26"/>
      <c r="J177" s="26"/>
      <c r="K177" s="28"/>
      <c r="L177" s="26"/>
      <c r="M177" s="26"/>
      <c r="N177" s="26"/>
      <c r="O177" s="28"/>
      <c r="P177" s="26"/>
      <c r="Q177" s="26"/>
      <c r="R177" s="27"/>
      <c r="S177" s="27"/>
      <c r="T177" s="6">
        <f>T176/1000</f>
        <v>0.57192541003731179</v>
      </c>
      <c r="U177" s="27" t="s">
        <v>783</v>
      </c>
      <c r="V177" s="26"/>
      <c r="W177" s="26"/>
      <c r="X177" s="28"/>
      <c r="Y177" s="26"/>
      <c r="Z177" s="26"/>
      <c r="AA177" s="26"/>
      <c r="AB177" s="28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9"/>
    </row>
    <row r="178" spans="2:40">
      <c r="B178" s="34"/>
      <c r="C178" s="26"/>
      <c r="D178" s="26"/>
      <c r="E178" s="26"/>
      <c r="F178" s="26"/>
      <c r="G178" s="28"/>
      <c r="H178" s="26"/>
      <c r="I178" s="26"/>
      <c r="J178" s="26"/>
      <c r="K178" s="28"/>
      <c r="L178" s="26"/>
      <c r="M178" s="26"/>
      <c r="N178" s="26"/>
      <c r="O178" s="28"/>
      <c r="P178" s="26"/>
      <c r="Q178" s="26"/>
      <c r="R178" s="27"/>
      <c r="S178" s="27" t="s">
        <v>194</v>
      </c>
      <c r="T178" s="27">
        <f>T163</f>
        <v>6197.2650488574182</v>
      </c>
      <c r="U178" s="27" t="s">
        <v>781</v>
      </c>
      <c r="V178" s="26"/>
      <c r="W178" s="26"/>
      <c r="X178" s="28"/>
      <c r="Y178" s="26"/>
      <c r="Z178" s="26"/>
      <c r="AA178" s="26"/>
      <c r="AB178" s="28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9"/>
    </row>
    <row r="179" spans="2:40">
      <c r="B179" s="34"/>
      <c r="C179" s="26"/>
      <c r="D179" s="26"/>
      <c r="E179" s="26"/>
      <c r="F179" s="26"/>
      <c r="G179" s="28"/>
      <c r="H179" s="26"/>
      <c r="I179" s="26"/>
      <c r="J179" s="26"/>
      <c r="K179" s="28"/>
      <c r="L179" s="26"/>
      <c r="M179" s="26"/>
      <c r="N179" s="26"/>
      <c r="O179" s="28"/>
      <c r="P179" s="26"/>
      <c r="Q179" s="26"/>
      <c r="R179" s="27"/>
      <c r="S179" s="27"/>
      <c r="T179" s="6">
        <f>T178/1000</f>
        <v>6.1972650488574184</v>
      </c>
      <c r="U179" s="27" t="s">
        <v>783</v>
      </c>
      <c r="V179" s="26"/>
      <c r="W179" s="26"/>
      <c r="X179" s="28"/>
      <c r="Y179" s="26"/>
      <c r="Z179" s="26"/>
      <c r="AA179" s="26"/>
      <c r="AB179" s="28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9"/>
    </row>
    <row r="180" spans="2:40">
      <c r="B180" s="34"/>
      <c r="C180" s="26"/>
      <c r="D180" s="26"/>
      <c r="E180" s="26"/>
      <c r="F180" s="26"/>
      <c r="G180" s="28"/>
      <c r="H180" s="26"/>
      <c r="I180" s="26"/>
      <c r="J180" s="26"/>
      <c r="K180" s="28"/>
      <c r="L180" s="26"/>
      <c r="M180" s="26"/>
      <c r="N180" s="26"/>
      <c r="O180" s="28"/>
      <c r="P180" s="26"/>
      <c r="Q180" s="26"/>
      <c r="R180" s="27"/>
      <c r="S180" s="6" t="s">
        <v>732</v>
      </c>
      <c r="T180" s="27">
        <f>SUM(T176,T178)</f>
        <v>6769.19045889473</v>
      </c>
      <c r="U180" s="27" t="s">
        <v>781</v>
      </c>
      <c r="V180" s="26"/>
      <c r="W180" s="26"/>
      <c r="X180" s="28"/>
      <c r="Y180" s="26"/>
      <c r="Z180" s="26"/>
      <c r="AA180" s="26"/>
      <c r="AB180" s="28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9"/>
    </row>
    <row r="181" spans="2:40">
      <c r="B181" s="34"/>
      <c r="C181" s="26"/>
      <c r="D181" s="26"/>
      <c r="E181" s="26"/>
      <c r="F181" s="26"/>
      <c r="G181" s="28"/>
      <c r="H181" s="26"/>
      <c r="I181" s="26"/>
      <c r="J181" s="26"/>
      <c r="K181" s="28"/>
      <c r="L181" s="26"/>
      <c r="M181" s="26"/>
      <c r="N181" s="26"/>
      <c r="O181" s="28"/>
      <c r="P181" s="26"/>
      <c r="Q181" s="26"/>
      <c r="R181" s="27"/>
      <c r="S181" s="27"/>
      <c r="T181" s="6">
        <f>SUM(T177,T179)</f>
        <v>6.7691904588947303</v>
      </c>
      <c r="U181" s="27" t="s">
        <v>783</v>
      </c>
      <c r="V181" s="26"/>
      <c r="W181" s="26"/>
      <c r="X181" s="28"/>
      <c r="Y181" s="26"/>
      <c r="Z181" s="26"/>
      <c r="AA181" s="26"/>
      <c r="AB181" s="28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9"/>
    </row>
    <row r="182" spans="2:40" ht="15.75" thickBot="1">
      <c r="B182" s="61"/>
      <c r="C182" s="62"/>
      <c r="D182" s="62"/>
      <c r="E182" s="62"/>
      <c r="F182" s="62"/>
      <c r="G182" s="63"/>
      <c r="H182" s="62"/>
      <c r="I182" s="62"/>
      <c r="J182" s="62"/>
      <c r="K182" s="63"/>
      <c r="L182" s="62"/>
      <c r="M182" s="62"/>
      <c r="N182" s="62"/>
      <c r="O182" s="63"/>
      <c r="P182" s="62"/>
      <c r="Q182" s="62"/>
      <c r="R182" s="241" t="s">
        <v>618</v>
      </c>
      <c r="S182" s="241"/>
      <c r="T182" s="241">
        <f>SUM(U162:U175)</f>
        <v>-115.3944772776976</v>
      </c>
      <c r="U182" s="241" t="s">
        <v>789</v>
      </c>
      <c r="V182" s="62"/>
      <c r="W182" s="62"/>
      <c r="X182" s="63"/>
      <c r="Y182" s="62"/>
      <c r="Z182" s="62"/>
      <c r="AA182" s="62"/>
      <c r="AB182" s="63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4"/>
    </row>
  </sheetData>
  <sheetProtection algorithmName="SHA-512" hashValue="AfM/KEOOQLKT0KTLMiZo7Lhrver9hthWNyrzy/3lAo+SF/wELLRl3TtVTMbKYjvywzn9WFiDgZilWZRgBdpW8Q==" saltValue="b5WEWIQY9/8IGi8S/lEu/A==" spinCount="100000" sheet="1" objects="1" scenarios="1"/>
  <phoneticPr fontId="3" type="noConversion"/>
  <hyperlinks>
    <hyperlink ref="AA109" r:id="rId1" location=":~:text=Low%20Heavy%20Metal%20Content%20Chemical%20Magnesium%20Oxide,Tons.%20*%20US$700.0050%2D99%20Tons.%20*%20US$650.00100+%20Tons." display="https://xzhchemical.en.made-in-china.com/product/ZTRUpcdOnrYv/China-Low-Heavy-Metal-Content-Chemical-Magnesium-Oxide-MGO-96-Powder.html#:~:text=Low%20Heavy%20Metal%20Content%20Chemical%20Magnesium%20Oxide,Tons.%20*%20US$700.0050%2D99%20Tons.%20*%20US$650.00100+%20Tons." xr:uid="{C2402BA3-FE96-4A48-A8D4-D8B8EA6DEDAE}"/>
    <hyperlink ref="AA116" r:id="rId2" xr:uid="{B9174C91-9D8E-415D-9E23-1975C934D0E4}"/>
    <hyperlink ref="AA140" r:id="rId3" location=":~:text=Low%20Heavy%20Metal%20Content%20Chemical%20Magnesium%20Oxide,Tons.%20*%20US$700.0050%2D99%20Tons.%20*%20US$650.00100+%20Tons." display="https://xzhchemical.en.made-in-china.com/product/ZTRUpcdOnrYv/China-Low-Heavy-Metal-Content-Chemical-Magnesium-Oxide-MGO-96-Powder.html#:~:text=Low%20Heavy%20Metal%20Content%20Chemical%20Magnesium%20Oxide,Tons.%20*%20US$700.0050%2D99%20Tons.%20*%20US$650.00100+%20Tons." xr:uid="{6794407D-3111-4BC9-9E74-C6DDF4301186}"/>
    <hyperlink ref="AA147" r:id="rId4" xr:uid="{5DA07CFF-842E-4ADE-9D07-BADC289CEE14}"/>
    <hyperlink ref="AA168" r:id="rId5" location=":~:text=Low%20Heavy%20Metal%20Content%20Chemical%20Magnesium%20Oxide,Tons.%20*%20US$700.0050%2D99%20Tons.%20*%20US$650.00100+%20Tons." display="https://xzhchemical.en.made-in-china.com/product/ZTRUpcdOnrYv/China-Low-Heavy-Metal-Content-Chemical-Magnesium-Oxide-MGO-96-Powder.html#:~:text=Low%20Heavy%20Metal%20Content%20Chemical%20Magnesium%20Oxide,Tons.%20*%20US$700.0050%2D99%20Tons.%20*%20US$650.00100+%20Tons." xr:uid="{96E24D2A-01BD-4E18-8930-A3FD95227307}"/>
    <hyperlink ref="AA175" r:id="rId6" xr:uid="{428EF522-C475-4B04-AAFF-F478A62D0A89}"/>
  </hyperlinks>
  <pageMargins left="0.7" right="0.7" top="0.75" bottom="0.75" header="0.3" footer="0.3"/>
  <pageSetup orientation="portrait" r:id="rId7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E4B4-7F6C-43BC-A7A5-F86641C6A2F5}">
  <dimension ref="B1:AP182"/>
  <sheetViews>
    <sheetView zoomScaleNormal="100" workbookViewId="0">
      <selection activeCell="F4" sqref="F4"/>
    </sheetView>
  </sheetViews>
  <sheetFormatPr defaultRowHeight="15"/>
  <cols>
    <col min="1" max="1" width="4.75" style="9" customWidth="1"/>
    <col min="2" max="2" width="10.625" style="9" customWidth="1"/>
    <col min="3" max="3" width="9.625" style="9" customWidth="1"/>
    <col min="4" max="4" width="10.375" style="9" customWidth="1"/>
    <col min="5" max="5" width="9" style="9"/>
    <col min="6" max="6" width="10.625" style="9" customWidth="1"/>
    <col min="7" max="7" width="9.625" style="12" customWidth="1"/>
    <col min="8" max="8" width="13.25" style="9" bestFit="1" customWidth="1"/>
    <col min="9" max="9" width="9.75" style="9" bestFit="1" customWidth="1"/>
    <col min="10" max="10" width="10.625" style="9" customWidth="1"/>
    <col min="11" max="11" width="9.625" style="12" customWidth="1"/>
    <col min="12" max="12" width="12.5" style="9" bestFit="1" customWidth="1"/>
    <col min="13" max="13" width="14.875" style="9" bestFit="1" customWidth="1"/>
    <col min="14" max="14" width="10.625" style="9" customWidth="1"/>
    <col min="15" max="15" width="9.625" style="12" customWidth="1"/>
    <col min="16" max="16" width="10.5" style="9" bestFit="1" customWidth="1"/>
    <col min="17" max="17" width="14.125" style="9" bestFit="1" customWidth="1"/>
    <col min="18" max="18" width="10.875" style="9" bestFit="1" customWidth="1"/>
    <col min="19" max="19" width="15.625" style="9" customWidth="1"/>
    <col min="20" max="20" width="14.75" style="12" bestFit="1" customWidth="1"/>
    <col min="21" max="21" width="10.625" style="9" bestFit="1" customWidth="1"/>
    <col min="22" max="22" width="12.375" style="9" bestFit="1" customWidth="1"/>
    <col min="23" max="23" width="16.125" style="9" bestFit="1" customWidth="1"/>
    <col min="24" max="24" width="12.75" style="12" bestFit="1" customWidth="1"/>
    <col min="25" max="25" width="14.375" style="9" bestFit="1" customWidth="1"/>
    <col min="26" max="26" width="9" style="9"/>
    <col min="27" max="27" width="11.125" style="9" bestFit="1" customWidth="1"/>
    <col min="28" max="28" width="14.25" style="12" bestFit="1" customWidth="1"/>
    <col min="29" max="29" width="12.625" style="9" bestFit="1" customWidth="1"/>
    <col min="30" max="32" width="9" style="9"/>
    <col min="33" max="33" width="11.75" style="9" customWidth="1"/>
    <col min="34" max="34" width="9" style="9"/>
    <col min="35" max="35" width="13.125" style="9" customWidth="1"/>
    <col min="36" max="36" width="9.625" style="9" bestFit="1" customWidth="1"/>
    <col min="37" max="37" width="9" style="9"/>
    <col min="38" max="38" width="9.125" style="9" bestFit="1" customWidth="1"/>
    <col min="39" max="16384" width="9" style="9"/>
  </cols>
  <sheetData>
    <row r="1" spans="2:42">
      <c r="B1" s="8"/>
      <c r="C1" s="9" t="s">
        <v>176</v>
      </c>
      <c r="D1" s="11"/>
      <c r="E1" s="9" t="s">
        <v>104</v>
      </c>
      <c r="F1" s="119"/>
      <c r="G1" s="12" t="s">
        <v>194</v>
      </c>
      <c r="H1" s="13"/>
      <c r="I1" s="9" t="s">
        <v>192</v>
      </c>
      <c r="K1" s="288"/>
      <c r="L1" s="9" t="s">
        <v>653</v>
      </c>
    </row>
    <row r="2" spans="2:42" s="10" customFormat="1">
      <c r="G2" s="14"/>
      <c r="J2" s="15"/>
      <c r="K2" s="14"/>
      <c r="O2" s="14"/>
      <c r="T2" s="14"/>
      <c r="X2" s="14"/>
      <c r="AB2" s="14"/>
    </row>
    <row r="3" spans="2:42">
      <c r="B3" s="16" t="s">
        <v>183</v>
      </c>
    </row>
    <row r="4" spans="2:42" ht="15.75" thickBot="1">
      <c r="B4" s="17" t="s">
        <v>185</v>
      </c>
      <c r="R4" s="17" t="s">
        <v>186</v>
      </c>
    </row>
    <row r="5" spans="2:42">
      <c r="B5" s="18" t="s">
        <v>7</v>
      </c>
      <c r="C5" s="19"/>
      <c r="D5" s="19"/>
      <c r="E5" s="19"/>
      <c r="F5" s="20" t="s">
        <v>8</v>
      </c>
      <c r="G5" s="21"/>
      <c r="H5" s="19"/>
      <c r="I5" s="19"/>
      <c r="J5" s="19"/>
      <c r="K5" s="21"/>
      <c r="L5" s="19"/>
      <c r="M5" s="19"/>
      <c r="N5" s="19"/>
      <c r="O5" s="21"/>
      <c r="P5" s="22"/>
      <c r="R5" s="23" t="s">
        <v>630</v>
      </c>
      <c r="S5" s="19"/>
      <c r="T5" s="24"/>
      <c r="U5" s="19"/>
      <c r="V5" s="19"/>
      <c r="W5" s="19"/>
      <c r="X5" s="21"/>
      <c r="Y5" s="19"/>
      <c r="Z5" s="19"/>
      <c r="AA5" s="19"/>
      <c r="AB5" s="21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22"/>
    </row>
    <row r="6" spans="2:42" ht="15.75" thickBot="1">
      <c r="B6" s="25"/>
      <c r="C6" s="26"/>
      <c r="D6" s="26"/>
      <c r="E6" s="26"/>
      <c r="F6" s="27" t="s">
        <v>9</v>
      </c>
      <c r="G6" s="28"/>
      <c r="H6" s="26"/>
      <c r="I6" s="26"/>
      <c r="J6" s="27" t="s">
        <v>184</v>
      </c>
      <c r="K6" s="28"/>
      <c r="L6" s="26"/>
      <c r="M6" s="26"/>
      <c r="N6" s="27" t="s">
        <v>39</v>
      </c>
      <c r="O6" s="28"/>
      <c r="P6" s="29"/>
      <c r="R6" s="30" t="s">
        <v>336</v>
      </c>
      <c r="S6" s="35"/>
      <c r="T6" s="28"/>
      <c r="U6" s="35" t="s">
        <v>346</v>
      </c>
      <c r="V6" s="26" t="s">
        <v>348</v>
      </c>
      <c r="W6" s="26"/>
      <c r="X6" s="35"/>
      <c r="Y6" s="33"/>
      <c r="Z6" s="33"/>
      <c r="AA6" s="26"/>
      <c r="AB6" s="28"/>
      <c r="AC6" s="26"/>
      <c r="AD6" s="26"/>
      <c r="AE6" s="35" t="s">
        <v>347</v>
      </c>
      <c r="AF6" s="26"/>
      <c r="AG6" s="26"/>
      <c r="AH6" s="26"/>
      <c r="AI6" s="161" t="s">
        <v>429</v>
      </c>
      <c r="AJ6" s="79"/>
      <c r="AK6" s="79"/>
      <c r="AL6" s="115" t="s">
        <v>434</v>
      </c>
      <c r="AM6" s="79"/>
      <c r="AN6" s="71"/>
      <c r="AO6" s="26"/>
      <c r="AP6" s="29"/>
    </row>
    <row r="7" spans="2:42" ht="15.75" thickBot="1">
      <c r="B7" s="31" t="s">
        <v>1</v>
      </c>
      <c r="C7" s="400">
        <v>22352</v>
      </c>
      <c r="D7" s="33" t="s">
        <v>4</v>
      </c>
      <c r="E7" s="26"/>
      <c r="F7" s="26"/>
      <c r="G7" s="28"/>
      <c r="H7" s="26"/>
      <c r="I7" s="26"/>
      <c r="J7" s="26"/>
      <c r="K7" s="28"/>
      <c r="L7" s="26"/>
      <c r="M7" s="26"/>
      <c r="N7" s="26"/>
      <c r="O7" s="28"/>
      <c r="P7" s="29"/>
      <c r="R7" s="34" t="s">
        <v>344</v>
      </c>
      <c r="S7" s="36"/>
      <c r="T7" s="28"/>
      <c r="U7" s="27" t="s">
        <v>359</v>
      </c>
      <c r="V7" s="26"/>
      <c r="W7" s="26"/>
      <c r="X7" s="6" t="s">
        <v>365</v>
      </c>
      <c r="Y7" s="26"/>
      <c r="Z7" s="26"/>
      <c r="AA7" s="26"/>
      <c r="AB7" s="6" t="s">
        <v>364</v>
      </c>
      <c r="AC7" s="28"/>
      <c r="AD7" s="33"/>
      <c r="AE7" s="35" t="s">
        <v>428</v>
      </c>
      <c r="AF7" s="33"/>
      <c r="AG7" s="33"/>
      <c r="AH7" s="26"/>
      <c r="AI7" s="50" t="s">
        <v>654</v>
      </c>
      <c r="AJ7" s="51">
        <v>1.8</v>
      </c>
      <c r="AK7" s="237" t="s">
        <v>110</v>
      </c>
      <c r="AL7" s="115"/>
      <c r="AM7" s="79"/>
      <c r="AN7" s="71"/>
      <c r="AO7" s="26"/>
      <c r="AP7" s="29"/>
    </row>
    <row r="8" spans="2:42" ht="16.5">
      <c r="B8" s="31"/>
      <c r="C8" s="32">
        <f>C7/24</f>
        <v>931.33333333333337</v>
      </c>
      <c r="D8" s="33" t="s">
        <v>6</v>
      </c>
      <c r="E8" s="26"/>
      <c r="F8" s="36" t="s">
        <v>18</v>
      </c>
      <c r="G8" s="28">
        <v>4</v>
      </c>
      <c r="H8" s="26" t="s">
        <v>10</v>
      </c>
      <c r="I8" s="26"/>
      <c r="J8" s="36" t="s">
        <v>1</v>
      </c>
      <c r="K8" s="28">
        <f>C7*G11/100</f>
        <v>20597.367999999999</v>
      </c>
      <c r="L8" s="26" t="s">
        <v>4</v>
      </c>
      <c r="M8" s="26"/>
      <c r="N8" s="36" t="s">
        <v>1</v>
      </c>
      <c r="O8" s="28">
        <f>K8*K15/100</f>
        <v>20597.367999999999</v>
      </c>
      <c r="P8" s="29" t="s">
        <v>4</v>
      </c>
      <c r="R8" s="34" t="s">
        <v>345</v>
      </c>
      <c r="S8" s="49"/>
      <c r="T8" s="32"/>
      <c r="U8" s="26" t="s">
        <v>366</v>
      </c>
      <c r="V8" s="26"/>
      <c r="W8" s="26"/>
      <c r="X8" s="3" t="s">
        <v>306</v>
      </c>
      <c r="Y8" s="3">
        <v>12.5</v>
      </c>
      <c r="Z8" s="49" t="s">
        <v>340</v>
      </c>
      <c r="AA8" s="26"/>
      <c r="AB8" s="3" t="s">
        <v>306</v>
      </c>
      <c r="AC8" s="28">
        <v>180</v>
      </c>
      <c r="AD8" s="49" t="s">
        <v>340</v>
      </c>
      <c r="AE8" s="49" t="s">
        <v>385</v>
      </c>
      <c r="AF8" s="32">
        <v>2.1</v>
      </c>
      <c r="AG8" s="49" t="s">
        <v>392</v>
      </c>
      <c r="AH8" s="26"/>
      <c r="AI8" s="162" t="s">
        <v>430</v>
      </c>
      <c r="AJ8" s="26"/>
      <c r="AK8" s="26"/>
      <c r="AL8" s="74" t="s">
        <v>1</v>
      </c>
      <c r="AM8" s="26">
        <v>72.06</v>
      </c>
      <c r="AN8" s="75" t="s">
        <v>408</v>
      </c>
      <c r="AO8" s="26"/>
      <c r="AP8" s="29"/>
    </row>
    <row r="9" spans="2:42" ht="16.5">
      <c r="B9" s="34"/>
      <c r="C9" s="96">
        <f>C7/SUM(C7,C10)</f>
        <v>0.24914173614516921</v>
      </c>
      <c r="D9" s="9" t="s">
        <v>778</v>
      </c>
      <c r="E9" s="26"/>
      <c r="F9" s="38" t="s">
        <v>26</v>
      </c>
      <c r="G9" s="39">
        <v>30</v>
      </c>
      <c r="H9" s="40" t="s">
        <v>14</v>
      </c>
      <c r="I9" s="26"/>
      <c r="J9" s="36"/>
      <c r="K9" s="28">
        <f>K8/24</f>
        <v>858.22366666666665</v>
      </c>
      <c r="L9" s="26" t="s">
        <v>6</v>
      </c>
      <c r="M9" s="26"/>
      <c r="N9" s="36"/>
      <c r="O9" s="28">
        <f>O8/24</f>
        <v>858.22366666666665</v>
      </c>
      <c r="P9" s="29" t="s">
        <v>5</v>
      </c>
      <c r="R9" s="34" t="s">
        <v>351</v>
      </c>
      <c r="S9" s="49">
        <f>3.08/7.7</f>
        <v>0.4</v>
      </c>
      <c r="T9" s="32" t="s">
        <v>350</v>
      </c>
      <c r="U9" s="36" t="s">
        <v>352</v>
      </c>
      <c r="V9" s="28">
        <f>O9*2</f>
        <v>1716.4473333333333</v>
      </c>
      <c r="W9" s="49" t="s">
        <v>349</v>
      </c>
      <c r="X9" s="3" t="s">
        <v>308</v>
      </c>
      <c r="Y9" s="3">
        <v>180</v>
      </c>
      <c r="Z9" s="49" t="s">
        <v>340</v>
      </c>
      <c r="AA9" s="26"/>
      <c r="AB9" s="3" t="s">
        <v>308</v>
      </c>
      <c r="AC9" s="28">
        <v>40</v>
      </c>
      <c r="AD9" s="49" t="s">
        <v>340</v>
      </c>
      <c r="AE9" s="49" t="s">
        <v>229</v>
      </c>
      <c r="AF9" s="32">
        <f>SUM((V9*S13/100)+V10,V12)</f>
        <v>2147.3218579999998</v>
      </c>
      <c r="AG9" s="49" t="s">
        <v>386</v>
      </c>
      <c r="AH9" s="26"/>
      <c r="AI9" s="162" t="s">
        <v>431</v>
      </c>
      <c r="AJ9" s="26"/>
      <c r="AK9" s="26"/>
      <c r="AL9" s="74" t="s">
        <v>422</v>
      </c>
      <c r="AM9" s="97">
        <v>90.08</v>
      </c>
      <c r="AN9" s="75" t="s">
        <v>395</v>
      </c>
      <c r="AO9" s="26"/>
      <c r="AP9" s="29"/>
    </row>
    <row r="10" spans="2:42" ht="16.5">
      <c r="B10" s="31" t="s">
        <v>2</v>
      </c>
      <c r="C10" s="400">
        <v>67364</v>
      </c>
      <c r="D10" s="33" t="s">
        <v>4</v>
      </c>
      <c r="E10" s="26"/>
      <c r="F10" s="38"/>
      <c r="G10" s="39">
        <f>C10*G9/100</f>
        <v>20209.2</v>
      </c>
      <c r="H10" s="40" t="s">
        <v>162</v>
      </c>
      <c r="I10" s="26"/>
      <c r="J10" s="36" t="s">
        <v>2</v>
      </c>
      <c r="K10" s="28">
        <f>C10*(1-G11/100)</f>
        <v>5288.0740000000087</v>
      </c>
      <c r="L10" s="26" t="s">
        <v>4</v>
      </c>
      <c r="M10" s="26"/>
      <c r="N10" s="36" t="s">
        <v>2</v>
      </c>
      <c r="O10" s="28">
        <f>K10*(1-K16/100)</f>
        <v>21.152296000000053</v>
      </c>
      <c r="P10" s="29" t="s">
        <v>4</v>
      </c>
      <c r="R10" s="34" t="s">
        <v>267</v>
      </c>
      <c r="S10" s="49">
        <v>179.85</v>
      </c>
      <c r="T10" s="32" t="s">
        <v>179</v>
      </c>
      <c r="U10" s="49" t="s">
        <v>358</v>
      </c>
      <c r="V10" s="32">
        <f>O11*2</f>
        <v>1.7626913333333378</v>
      </c>
      <c r="W10" s="49" t="s">
        <v>349</v>
      </c>
      <c r="X10" s="3" t="s">
        <v>362</v>
      </c>
      <c r="Y10" s="3">
        <f>Y9-Y8</f>
        <v>167.5</v>
      </c>
      <c r="Z10" s="49" t="s">
        <v>340</v>
      </c>
      <c r="AA10" s="26"/>
      <c r="AB10" s="3" t="s">
        <v>362</v>
      </c>
      <c r="AC10" s="28">
        <f>AC8-AC9</f>
        <v>140</v>
      </c>
      <c r="AD10" s="49" t="s">
        <v>340</v>
      </c>
      <c r="AE10" s="49" t="s">
        <v>226</v>
      </c>
      <c r="AF10" s="33">
        <f>V9*(1-(S13/100))</f>
        <v>257.46710000000002</v>
      </c>
      <c r="AG10" s="33" t="s">
        <v>387</v>
      </c>
      <c r="AH10" s="26"/>
      <c r="AI10" s="162" t="s">
        <v>432</v>
      </c>
      <c r="AJ10" s="26"/>
      <c r="AK10" s="26"/>
      <c r="AL10" s="74" t="s">
        <v>424</v>
      </c>
      <c r="AM10" s="97">
        <v>12.01</v>
      </c>
      <c r="AN10" s="75" t="s">
        <v>396</v>
      </c>
      <c r="AO10" s="26"/>
      <c r="AP10" s="29"/>
    </row>
    <row r="11" spans="2:42">
      <c r="B11" s="31"/>
      <c r="C11" s="32">
        <f>C10/24</f>
        <v>2806.8333333333335</v>
      </c>
      <c r="D11" s="33" t="s">
        <v>5</v>
      </c>
      <c r="E11" s="26"/>
      <c r="F11" s="43" t="s">
        <v>27</v>
      </c>
      <c r="G11" s="44">
        <f>97*0.95</f>
        <v>92.149999999999991</v>
      </c>
      <c r="H11" s="45" t="s">
        <v>12</v>
      </c>
      <c r="I11" s="26"/>
      <c r="J11" s="36"/>
      <c r="K11" s="28">
        <f>K10/24</f>
        <v>220.33641666666702</v>
      </c>
      <c r="L11" s="26" t="s">
        <v>5</v>
      </c>
      <c r="M11" s="26"/>
      <c r="N11" s="36"/>
      <c r="O11" s="28">
        <f>O10/24</f>
        <v>0.88134566666666891</v>
      </c>
      <c r="P11" s="29" t="s">
        <v>5</v>
      </c>
      <c r="R11" s="34" t="s">
        <v>269</v>
      </c>
      <c r="S11" s="49">
        <v>2</v>
      </c>
      <c r="T11" s="32" t="s">
        <v>271</v>
      </c>
      <c r="U11" s="49" t="s">
        <v>353</v>
      </c>
      <c r="V11" s="32">
        <f>O14*2</f>
        <v>205.97367999999997</v>
      </c>
      <c r="W11" s="49" t="s">
        <v>349</v>
      </c>
      <c r="X11" s="3" t="s">
        <v>293</v>
      </c>
      <c r="Y11" s="3">
        <v>0.22</v>
      </c>
      <c r="Z11" s="49"/>
      <c r="AA11" s="26"/>
      <c r="AB11" s="3"/>
      <c r="AC11" s="28"/>
      <c r="AD11" s="3"/>
      <c r="AE11" s="49"/>
      <c r="AF11" s="33">
        <f>AF10*S12/1000</f>
        <v>3.0896051999999998</v>
      </c>
      <c r="AG11" s="33" t="s">
        <v>256</v>
      </c>
      <c r="AH11" s="26"/>
      <c r="AI11" s="162" t="s">
        <v>433</v>
      </c>
      <c r="AJ11" s="26"/>
      <c r="AK11" s="26"/>
      <c r="AL11" s="74" t="s">
        <v>423</v>
      </c>
      <c r="AM11" s="97">
        <v>14.01</v>
      </c>
      <c r="AN11" s="75" t="s">
        <v>394</v>
      </c>
      <c r="AO11" s="26"/>
      <c r="AP11" s="29"/>
    </row>
    <row r="12" spans="2:42" ht="16.5">
      <c r="B12" s="34"/>
      <c r="C12" s="96">
        <f>C10/SUM(C10,C7)</f>
        <v>0.75085826385483079</v>
      </c>
      <c r="D12" s="9" t="s">
        <v>778</v>
      </c>
      <c r="E12" s="26"/>
      <c r="F12" s="36"/>
      <c r="G12" s="28"/>
      <c r="H12" s="26"/>
      <c r="I12" s="26"/>
      <c r="J12" s="38" t="s">
        <v>31</v>
      </c>
      <c r="K12" s="39">
        <v>100</v>
      </c>
      <c r="L12" s="40" t="s">
        <v>24</v>
      </c>
      <c r="M12" s="26"/>
      <c r="N12" s="43" t="s">
        <v>40</v>
      </c>
      <c r="O12" s="400">
        <v>12</v>
      </c>
      <c r="P12" s="46" t="s">
        <v>12</v>
      </c>
      <c r="R12" s="34"/>
      <c r="S12" s="421">
        <f>24/S11</f>
        <v>12</v>
      </c>
      <c r="T12" s="28" t="s">
        <v>384</v>
      </c>
      <c r="U12" s="36" t="s">
        <v>354</v>
      </c>
      <c r="V12" s="28">
        <f>V9*0.4</f>
        <v>686.57893333333334</v>
      </c>
      <c r="W12" s="36" t="s">
        <v>367</v>
      </c>
      <c r="X12" s="3" t="s">
        <v>294</v>
      </c>
      <c r="Y12" s="3">
        <v>1.8</v>
      </c>
      <c r="Z12" s="3" t="s">
        <v>363</v>
      </c>
      <c r="AA12" s="26"/>
      <c r="AB12" s="3" t="s">
        <v>298</v>
      </c>
      <c r="AC12" s="28">
        <f>AC10*V9*Y12</f>
        <v>432544.728</v>
      </c>
      <c r="AD12" s="3" t="s">
        <v>299</v>
      </c>
      <c r="AE12" s="36" t="s">
        <v>388</v>
      </c>
      <c r="AF12" s="26">
        <f>(V9*(S13/100)*C13)+(C14*V10)</f>
        <v>1941.9772517933332</v>
      </c>
      <c r="AG12" s="26" t="s">
        <v>389</v>
      </c>
      <c r="AH12" s="26"/>
      <c r="AI12" s="162"/>
      <c r="AJ12" s="26"/>
      <c r="AK12" s="26"/>
      <c r="AL12" s="74" t="s">
        <v>425</v>
      </c>
      <c r="AM12" s="97">
        <v>30.97</v>
      </c>
      <c r="AN12" s="75" t="s">
        <v>397</v>
      </c>
      <c r="AO12" s="26"/>
      <c r="AP12" s="29"/>
    </row>
    <row r="13" spans="2:42" ht="16.5">
      <c r="B13" s="31" t="s">
        <v>17</v>
      </c>
      <c r="C13" s="400">
        <v>1.33</v>
      </c>
      <c r="D13" s="33" t="s">
        <v>19</v>
      </c>
      <c r="E13" s="26"/>
      <c r="F13" s="48"/>
      <c r="G13" s="9"/>
      <c r="I13" s="26" t="s">
        <v>680</v>
      </c>
      <c r="J13" s="38" t="s">
        <v>26</v>
      </c>
      <c r="K13" s="39">
        <f>K12*K8/100</f>
        <v>20597.367999999999</v>
      </c>
      <c r="L13" s="40" t="s">
        <v>20</v>
      </c>
      <c r="M13" s="26"/>
      <c r="N13" s="36" t="s">
        <v>137</v>
      </c>
      <c r="O13" s="28">
        <f>O12/100*O8</f>
        <v>2471.6841599999998</v>
      </c>
      <c r="P13" s="29" t="s">
        <v>20</v>
      </c>
      <c r="R13" s="379" t="s">
        <v>817</v>
      </c>
      <c r="S13" s="404">
        <f>I23</f>
        <v>85</v>
      </c>
      <c r="T13" s="44" t="s">
        <v>11</v>
      </c>
      <c r="U13" s="38" t="s">
        <v>355</v>
      </c>
      <c r="V13" s="39">
        <f>V9*0.4-V11</f>
        <v>480.60525333333339</v>
      </c>
      <c r="W13" s="38" t="s">
        <v>367</v>
      </c>
      <c r="X13" s="3" t="s">
        <v>361</v>
      </c>
      <c r="Y13" s="3">
        <v>4.18</v>
      </c>
      <c r="Z13" s="3" t="s">
        <v>363</v>
      </c>
      <c r="AA13" s="26"/>
      <c r="AB13" s="3" t="s">
        <v>356</v>
      </c>
      <c r="AC13" s="28">
        <f>AC10*(V10+V12)*Y13</f>
        <v>402817.51875493332</v>
      </c>
      <c r="AD13" s="3" t="s">
        <v>299</v>
      </c>
      <c r="AE13" s="49"/>
      <c r="AF13" s="32">
        <f>AF12/AF9</f>
        <v>0.90437176176377998</v>
      </c>
      <c r="AG13" s="33" t="s">
        <v>390</v>
      </c>
      <c r="AH13" s="26"/>
      <c r="AI13" s="162"/>
      <c r="AJ13" s="26"/>
      <c r="AK13" s="26"/>
      <c r="AL13" s="74" t="s">
        <v>427</v>
      </c>
      <c r="AM13" s="26">
        <v>46.1</v>
      </c>
      <c r="AN13" s="75" t="s">
        <v>426</v>
      </c>
      <c r="AO13" s="26"/>
      <c r="AP13" s="29"/>
    </row>
    <row r="14" spans="2:42" ht="16.5">
      <c r="B14" s="31" t="s">
        <v>15</v>
      </c>
      <c r="C14" s="400">
        <v>0.87</v>
      </c>
      <c r="D14" s="33" t="s">
        <v>16</v>
      </c>
      <c r="E14" s="26"/>
      <c r="F14" s="36"/>
      <c r="G14" s="28"/>
      <c r="H14" s="26"/>
      <c r="I14" s="26" t="s">
        <v>679</v>
      </c>
      <c r="J14" s="38" t="s">
        <v>32</v>
      </c>
      <c r="K14" s="39">
        <f>K13*(0.25/100)</f>
        <v>51.49342</v>
      </c>
      <c r="L14" s="40" t="s">
        <v>13</v>
      </c>
      <c r="M14" s="26"/>
      <c r="N14" s="36"/>
      <c r="O14" s="28">
        <f>O13/24</f>
        <v>102.98683999999999</v>
      </c>
      <c r="P14" s="29" t="s">
        <v>5</v>
      </c>
      <c r="R14" s="34"/>
      <c r="S14" s="49"/>
      <c r="T14" s="32"/>
      <c r="U14" s="26"/>
      <c r="V14" s="26"/>
      <c r="W14" s="26"/>
      <c r="X14" s="3" t="s">
        <v>297</v>
      </c>
      <c r="Y14" s="3">
        <v>93</v>
      </c>
      <c r="Z14" s="3" t="s">
        <v>363</v>
      </c>
      <c r="AA14" s="26"/>
      <c r="AB14" s="3" t="s">
        <v>383</v>
      </c>
      <c r="AC14" s="28">
        <f>SUM(AC12:AC13)</f>
        <v>835362.24675493338</v>
      </c>
      <c r="AD14" s="3" t="s">
        <v>382</v>
      </c>
      <c r="AE14" s="49" t="s">
        <v>391</v>
      </c>
      <c r="AF14" s="158">
        <f>((V10*(100-O12)/100)*((AM13/100)/AM10))*3+(V9*S13/100/AM9)</f>
        <v>16.375117899669679</v>
      </c>
      <c r="AG14" s="33" t="s">
        <v>400</v>
      </c>
      <c r="AH14" s="26"/>
      <c r="AI14" s="162" t="s">
        <v>409</v>
      </c>
      <c r="AJ14" s="26">
        <f>V9*S13/100/AM8</f>
        <v>20.246742066796187</v>
      </c>
      <c r="AK14" s="26" t="s">
        <v>410</v>
      </c>
      <c r="AL14" s="74" t="s">
        <v>404</v>
      </c>
      <c r="AM14" s="26">
        <v>98</v>
      </c>
      <c r="AN14" s="75" t="s">
        <v>419</v>
      </c>
      <c r="AO14" s="26"/>
      <c r="AP14" s="29"/>
    </row>
    <row r="15" spans="2:42" ht="15.75" thickBot="1">
      <c r="B15" s="31" t="s">
        <v>21</v>
      </c>
      <c r="C15" s="400">
        <v>78.400000000000006</v>
      </c>
      <c r="D15" s="33" t="s">
        <v>12</v>
      </c>
      <c r="E15" s="26"/>
      <c r="F15" s="36"/>
      <c r="G15" s="28"/>
      <c r="H15" s="26"/>
      <c r="I15" s="26"/>
      <c r="J15" s="43" t="s">
        <v>29</v>
      </c>
      <c r="K15" s="44">
        <v>100</v>
      </c>
      <c r="L15" s="45" t="s">
        <v>12</v>
      </c>
      <c r="M15" s="26"/>
      <c r="N15" s="36"/>
      <c r="O15" s="28"/>
      <c r="P15" s="29"/>
      <c r="R15" s="34"/>
      <c r="S15" s="49"/>
      <c r="T15" s="32"/>
      <c r="U15" s="26"/>
      <c r="V15" s="26"/>
      <c r="W15" s="26"/>
      <c r="X15" s="3" t="s">
        <v>357</v>
      </c>
      <c r="Y15" s="84">
        <f>V9*Y12*Y10</f>
        <v>517508.87099999998</v>
      </c>
      <c r="Z15" s="3" t="s">
        <v>382</v>
      </c>
      <c r="AA15" s="26"/>
      <c r="AB15" s="3"/>
      <c r="AC15" s="28"/>
      <c r="AD15" s="3"/>
      <c r="AE15" s="49" t="s">
        <v>393</v>
      </c>
      <c r="AF15" s="158">
        <f>AF14/30</f>
        <v>0.54583726332232263</v>
      </c>
      <c r="AG15" s="33" t="s">
        <v>401</v>
      </c>
      <c r="AH15" s="26"/>
      <c r="AI15" s="162"/>
      <c r="AJ15" s="26"/>
      <c r="AK15" s="26"/>
      <c r="AL15" s="74" t="s">
        <v>418</v>
      </c>
      <c r="AM15" s="26">
        <v>17.030999999999999</v>
      </c>
      <c r="AN15" s="75" t="s">
        <v>276</v>
      </c>
      <c r="AO15" s="26"/>
      <c r="AP15" s="29"/>
    </row>
    <row r="16" spans="2:42" ht="15.75" thickBot="1">
      <c r="B16" s="31" t="s">
        <v>22</v>
      </c>
      <c r="C16" s="400">
        <v>0.27500000000000002</v>
      </c>
      <c r="D16" s="33" t="s">
        <v>121</v>
      </c>
      <c r="E16" s="26"/>
      <c r="F16" s="50" t="s">
        <v>104</v>
      </c>
      <c r="G16" s="51">
        <f>36*2+(50*3.6)</f>
        <v>252</v>
      </c>
      <c r="H16" s="52" t="s">
        <v>109</v>
      </c>
      <c r="I16" s="26"/>
      <c r="J16" s="43" t="s">
        <v>28</v>
      </c>
      <c r="K16" s="44">
        <v>99.6</v>
      </c>
      <c r="L16" s="45" t="s">
        <v>12</v>
      </c>
      <c r="M16" s="26"/>
      <c r="N16" s="36" t="s">
        <v>777</v>
      </c>
      <c r="O16" s="96">
        <f>O10/(O8+O10)</f>
        <v>1.0258881673532901E-3</v>
      </c>
      <c r="P16" s="29" t="s">
        <v>787</v>
      </c>
      <c r="R16" s="34"/>
      <c r="S16" s="49"/>
      <c r="T16" s="32"/>
      <c r="U16" s="49" t="s">
        <v>284</v>
      </c>
      <c r="V16" s="32">
        <f>V9/S9</f>
        <v>4291.1183333333329</v>
      </c>
      <c r="W16" s="3" t="s">
        <v>285</v>
      </c>
      <c r="X16" s="3" t="s">
        <v>360</v>
      </c>
      <c r="Y16" s="84">
        <f>(V12+V10)*Y13*Y10</f>
        <v>481942.38851036667</v>
      </c>
      <c r="Z16" s="3" t="s">
        <v>382</v>
      </c>
      <c r="AA16" s="26"/>
      <c r="AB16" s="47" t="s">
        <v>661</v>
      </c>
      <c r="AC16" s="44">
        <f>C22</f>
        <v>60</v>
      </c>
      <c r="AD16" s="47" t="s">
        <v>168</v>
      </c>
      <c r="AE16" s="49" t="s">
        <v>398</v>
      </c>
      <c r="AF16" s="158">
        <f>AF14/100</f>
        <v>0.16375117899669678</v>
      </c>
      <c r="AG16" s="33" t="s">
        <v>399</v>
      </c>
      <c r="AH16" s="26"/>
      <c r="AI16" s="162"/>
      <c r="AJ16" s="26"/>
      <c r="AK16" s="26"/>
      <c r="AL16" s="74" t="s">
        <v>417</v>
      </c>
      <c r="AM16" s="26">
        <v>56.08</v>
      </c>
      <c r="AN16" s="75" t="s">
        <v>276</v>
      </c>
      <c r="AO16" s="26"/>
      <c r="AP16" s="29"/>
    </row>
    <row r="17" spans="2:42" ht="15.75" thickBot="1">
      <c r="B17" s="31" t="s">
        <v>23</v>
      </c>
      <c r="C17" s="400">
        <v>0.24199999999999999</v>
      </c>
      <c r="D17" s="33" t="s">
        <v>122</v>
      </c>
      <c r="E17" s="26"/>
      <c r="F17" s="33"/>
      <c r="G17" s="32"/>
      <c r="H17" s="33"/>
      <c r="I17" s="26"/>
      <c r="J17" s="36" t="s">
        <v>240</v>
      </c>
      <c r="K17" s="28"/>
      <c r="L17" s="26"/>
      <c r="M17" s="26"/>
      <c r="N17" s="36" t="s">
        <v>776</v>
      </c>
      <c r="O17" s="96">
        <f>1-O16</f>
        <v>0.99897411183264673</v>
      </c>
      <c r="P17" s="29" t="s">
        <v>787</v>
      </c>
      <c r="R17" s="34"/>
      <c r="S17" s="49"/>
      <c r="T17" s="32"/>
      <c r="U17" s="49"/>
      <c r="V17" s="32">
        <f>ROUNDUP(V16,-2)</f>
        <v>4300</v>
      </c>
      <c r="W17" s="3" t="s">
        <v>285</v>
      </c>
      <c r="X17" s="36" t="s">
        <v>735</v>
      </c>
      <c r="Y17" s="84">
        <f>V9*Y11*Y14</f>
        <v>35118.512439999999</v>
      </c>
      <c r="Z17" s="3" t="s">
        <v>382</v>
      </c>
      <c r="AA17" s="26"/>
      <c r="AB17" s="50" t="s">
        <v>161</v>
      </c>
      <c r="AC17" s="51">
        <f>AC14/(AC16/100)/1000*S12</f>
        <v>16707.244935098668</v>
      </c>
      <c r="AD17" s="52" t="s">
        <v>110</v>
      </c>
      <c r="AE17" s="38" t="s">
        <v>402</v>
      </c>
      <c r="AF17" s="40">
        <f>AF15*AM15/0.25/AM17</f>
        <v>40.86221728194495</v>
      </c>
      <c r="AG17" s="40" t="s">
        <v>407</v>
      </c>
      <c r="AH17" s="40"/>
      <c r="AI17" s="162" t="s">
        <v>411</v>
      </c>
      <c r="AJ17" s="26">
        <v>0.14599999999999999</v>
      </c>
      <c r="AK17" s="26" t="s">
        <v>410</v>
      </c>
      <c r="AL17" s="74" t="s">
        <v>683</v>
      </c>
      <c r="AM17" s="26">
        <v>0.91</v>
      </c>
      <c r="AN17" s="75" t="s">
        <v>406</v>
      </c>
      <c r="AO17" s="26"/>
      <c r="AP17" s="29"/>
    </row>
    <row r="18" spans="2:42" ht="15.75" thickBot="1">
      <c r="B18" s="25" t="s">
        <v>148</v>
      </c>
      <c r="C18" s="400">
        <v>12.5</v>
      </c>
      <c r="D18" s="26"/>
      <c r="E18" s="26"/>
      <c r="F18" s="33"/>
      <c r="G18" s="32"/>
      <c r="H18" s="33"/>
      <c r="I18" s="26"/>
      <c r="J18" s="50" t="s">
        <v>104</v>
      </c>
      <c r="K18" s="51">
        <v>2966</v>
      </c>
      <c r="L18" s="52" t="s">
        <v>109</v>
      </c>
      <c r="M18" s="26"/>
      <c r="N18" s="36"/>
      <c r="O18" s="28"/>
      <c r="P18" s="29"/>
      <c r="R18" s="34"/>
      <c r="S18" s="49"/>
      <c r="T18" s="32"/>
      <c r="U18" s="49"/>
      <c r="V18" s="33"/>
      <c r="W18" s="49"/>
      <c r="X18" s="47" t="s">
        <v>678</v>
      </c>
      <c r="Y18" s="157">
        <f>C24</f>
        <v>70</v>
      </c>
      <c r="Z18" s="47" t="s">
        <v>12</v>
      </c>
      <c r="AA18" s="2"/>
      <c r="AB18" s="65"/>
      <c r="AC18" s="2"/>
      <c r="AD18" s="33"/>
      <c r="AE18" s="38" t="s">
        <v>403</v>
      </c>
      <c r="AF18" s="40">
        <f>AJ18*AM16/0.95</f>
        <v>593.28927110838436</v>
      </c>
      <c r="AG18" s="40" t="s">
        <v>413</v>
      </c>
      <c r="AH18" s="40"/>
      <c r="AI18" s="163" t="s">
        <v>411</v>
      </c>
      <c r="AJ18" s="81">
        <f>(AJ14-AJ17)/2</f>
        <v>10.050371033398093</v>
      </c>
      <c r="AK18" s="81" t="s">
        <v>412</v>
      </c>
      <c r="AL18" s="76" t="s">
        <v>684</v>
      </c>
      <c r="AM18" s="81">
        <v>1.6850000000000001</v>
      </c>
      <c r="AN18" s="78" t="s">
        <v>414</v>
      </c>
      <c r="AO18" s="26"/>
      <c r="AP18" s="29"/>
    </row>
    <row r="19" spans="2:42" ht="15.75" thickBot="1">
      <c r="B19" s="25"/>
      <c r="C19" s="28"/>
      <c r="D19" s="26"/>
      <c r="E19" s="26"/>
      <c r="F19" s="33"/>
      <c r="G19" s="32"/>
      <c r="H19" s="33"/>
      <c r="I19" s="26"/>
      <c r="J19" s="50" t="s">
        <v>250</v>
      </c>
      <c r="K19" s="51">
        <v>163.19999999999999</v>
      </c>
      <c r="L19" s="52" t="s">
        <v>109</v>
      </c>
      <c r="M19" s="26"/>
      <c r="N19" s="36"/>
      <c r="O19" s="28"/>
      <c r="P19" s="29"/>
      <c r="R19" s="61"/>
      <c r="S19" s="62"/>
      <c r="T19" s="63"/>
      <c r="U19" s="62"/>
      <c r="V19" s="62"/>
      <c r="W19" s="62"/>
      <c r="X19" s="50" t="s">
        <v>570</v>
      </c>
      <c r="Y19" s="51">
        <f>SUM(Y15:Y17)/(Y18/100)/1000*S12</f>
        <v>17735.48180486343</v>
      </c>
      <c r="Z19" s="52" t="s">
        <v>110</v>
      </c>
      <c r="AA19" s="62"/>
      <c r="AB19" s="126"/>
      <c r="AC19" s="151"/>
      <c r="AD19" s="148"/>
      <c r="AE19" s="159" t="s">
        <v>405</v>
      </c>
      <c r="AF19" s="160">
        <f>AF16*AM14/0.85/AM18</f>
        <v>11.204479344860383</v>
      </c>
      <c r="AG19" s="160" t="s">
        <v>415</v>
      </c>
      <c r="AH19" s="160"/>
      <c r="AI19" s="80"/>
      <c r="AJ19" s="62"/>
      <c r="AK19" s="62"/>
      <c r="AL19" s="62"/>
      <c r="AM19" s="62"/>
      <c r="AN19" s="62"/>
      <c r="AO19" s="62"/>
      <c r="AP19" s="64"/>
    </row>
    <row r="20" spans="2:42">
      <c r="B20" s="253" t="s">
        <v>631</v>
      </c>
      <c r="C20" s="26" t="s">
        <v>632</v>
      </c>
      <c r="D20" s="26"/>
      <c r="E20" s="26"/>
      <c r="F20" s="26"/>
      <c r="G20" s="28"/>
      <c r="H20" s="26"/>
      <c r="I20" s="26"/>
      <c r="M20" s="26"/>
      <c r="N20" s="36"/>
      <c r="O20" s="28"/>
      <c r="P20" s="29"/>
      <c r="R20" s="23" t="s">
        <v>368</v>
      </c>
      <c r="S20" s="21"/>
      <c r="T20" s="19"/>
      <c r="U20" s="19"/>
      <c r="V20" s="19"/>
      <c r="W20" s="21"/>
      <c r="X20" s="19"/>
      <c r="Y20" s="19"/>
      <c r="Z20" s="19"/>
      <c r="AA20" s="21"/>
      <c r="AB20" s="19"/>
      <c r="AC20" s="19"/>
      <c r="AD20" s="19"/>
      <c r="AE20" s="19"/>
      <c r="AF20" s="21"/>
      <c r="AG20" s="19"/>
      <c r="AH20" s="19"/>
      <c r="AI20" s="19"/>
      <c r="AJ20" s="21"/>
      <c r="AK20" s="19"/>
      <c r="AL20" s="19"/>
      <c r="AM20" s="19"/>
      <c r="AN20" s="21"/>
      <c r="AO20" s="26"/>
      <c r="AP20" s="29"/>
    </row>
    <row r="21" spans="2:42">
      <c r="B21" s="254" t="s">
        <v>635</v>
      </c>
      <c r="C21" s="401">
        <v>1.3</v>
      </c>
      <c r="D21" s="381"/>
      <c r="E21" s="259" t="s">
        <v>634</v>
      </c>
      <c r="F21" s="403">
        <v>86</v>
      </c>
      <c r="G21" s="255" t="s">
        <v>638</v>
      </c>
      <c r="H21" s="381" t="s">
        <v>642</v>
      </c>
      <c r="I21" s="403">
        <v>30</v>
      </c>
      <c r="J21" s="255" t="s">
        <v>638</v>
      </c>
      <c r="L21" s="35" t="s">
        <v>815</v>
      </c>
      <c r="M21" s="32"/>
      <c r="N21" s="33"/>
      <c r="O21" s="33"/>
      <c r="P21" s="29"/>
      <c r="R21" s="30" t="s">
        <v>369</v>
      </c>
      <c r="S21" s="28"/>
      <c r="T21" s="26"/>
      <c r="U21" s="26"/>
      <c r="V21" s="26"/>
      <c r="W21" s="28"/>
      <c r="X21" s="27" t="s">
        <v>370</v>
      </c>
      <c r="Y21" s="26"/>
      <c r="Z21" s="26"/>
      <c r="AA21" s="28"/>
      <c r="AB21" s="26"/>
      <c r="AC21" s="26"/>
      <c r="AD21" s="26"/>
      <c r="AE21" s="26"/>
      <c r="AF21" s="28"/>
      <c r="AG21" s="26"/>
      <c r="AH21" s="26"/>
      <c r="AI21" s="26"/>
      <c r="AJ21" s="28"/>
      <c r="AK21" s="26"/>
      <c r="AL21" s="27" t="s">
        <v>73</v>
      </c>
      <c r="AM21" s="26"/>
      <c r="AN21" s="26"/>
      <c r="AO21" s="26"/>
      <c r="AP21" s="29"/>
    </row>
    <row r="22" spans="2:42" ht="16.5">
      <c r="B22" s="60" t="s">
        <v>584</v>
      </c>
      <c r="C22" s="400">
        <v>60</v>
      </c>
      <c r="D22" s="45" t="s">
        <v>638</v>
      </c>
      <c r="E22" s="260" t="s">
        <v>637</v>
      </c>
      <c r="F22" s="404">
        <v>30</v>
      </c>
      <c r="G22" s="256" t="s">
        <v>638</v>
      </c>
      <c r="H22" s="45" t="s">
        <v>650</v>
      </c>
      <c r="I22" s="404">
        <v>50</v>
      </c>
      <c r="J22" s="256" t="s">
        <v>638</v>
      </c>
      <c r="K22" s="32"/>
      <c r="L22" s="367" t="s">
        <v>812</v>
      </c>
      <c r="M22" s="372" t="s">
        <v>813</v>
      </c>
      <c r="N22" s="373" t="s">
        <v>320</v>
      </c>
      <c r="O22" s="374" t="s">
        <v>814</v>
      </c>
      <c r="P22" s="29"/>
      <c r="R22" s="34"/>
      <c r="S22" s="28"/>
      <c r="T22" s="26"/>
      <c r="U22" s="26"/>
      <c r="V22" s="26"/>
      <c r="W22" s="28"/>
      <c r="X22" s="27" t="s">
        <v>371</v>
      </c>
      <c r="Y22" s="26"/>
      <c r="Z22" s="26"/>
      <c r="AA22" s="28"/>
      <c r="AB22" s="273" t="s">
        <v>372</v>
      </c>
      <c r="AC22" s="274"/>
      <c r="AD22" s="274"/>
      <c r="AE22" s="26"/>
      <c r="AF22" s="27" t="s">
        <v>373</v>
      </c>
      <c r="AG22" s="26"/>
      <c r="AH22" s="26"/>
      <c r="AI22" s="26"/>
      <c r="AJ22" s="26"/>
      <c r="AK22" s="26"/>
      <c r="AL22" s="26"/>
      <c r="AM22" s="26"/>
      <c r="AN22" s="26"/>
      <c r="AO22" s="26"/>
      <c r="AP22" s="29"/>
    </row>
    <row r="23" spans="2:42" ht="16.5">
      <c r="B23" s="60" t="s">
        <v>258</v>
      </c>
      <c r="C23" s="400">
        <v>60</v>
      </c>
      <c r="D23" s="45" t="s">
        <v>638</v>
      </c>
      <c r="E23" s="260" t="s">
        <v>639</v>
      </c>
      <c r="F23" s="404">
        <v>75</v>
      </c>
      <c r="G23" s="261" t="s">
        <v>640</v>
      </c>
      <c r="H23" s="45" t="s">
        <v>818</v>
      </c>
      <c r="I23" s="404">
        <v>85</v>
      </c>
      <c r="J23" s="256" t="s">
        <v>12</v>
      </c>
      <c r="K23" s="28"/>
      <c r="L23" s="368" t="s">
        <v>810</v>
      </c>
      <c r="M23" s="28">
        <v>86.071133651817703</v>
      </c>
      <c r="N23" s="370">
        <v>83.615075250484296</v>
      </c>
      <c r="O23" s="230">
        <v>59.843762978422397</v>
      </c>
      <c r="P23" s="29"/>
      <c r="R23" s="307" t="s">
        <v>681</v>
      </c>
      <c r="S23" s="28"/>
      <c r="T23" s="3"/>
      <c r="U23" s="3"/>
      <c r="V23" s="3"/>
      <c r="W23" s="28"/>
      <c r="X23" s="26"/>
      <c r="Y23" s="26"/>
      <c r="Z23" s="26"/>
      <c r="AA23" s="28"/>
      <c r="AB23" s="275" t="s">
        <v>435</v>
      </c>
      <c r="AC23" s="274"/>
      <c r="AD23" s="274"/>
      <c r="AE23" s="26"/>
      <c r="AF23" s="26"/>
      <c r="AG23" s="26"/>
      <c r="AH23" s="26"/>
      <c r="AI23" s="26"/>
      <c r="AJ23" s="26"/>
      <c r="AK23" s="26"/>
      <c r="AL23" s="45" t="s">
        <v>74</v>
      </c>
      <c r="AM23" s="44">
        <f>F24</f>
        <v>80</v>
      </c>
      <c r="AN23" s="43" t="s">
        <v>11</v>
      </c>
      <c r="AO23" s="26"/>
      <c r="AP23" s="29"/>
    </row>
    <row r="24" spans="2:42" ht="16.5">
      <c r="B24" s="257" t="s">
        <v>636</v>
      </c>
      <c r="C24" s="402">
        <v>70</v>
      </c>
      <c r="D24" s="380" t="s">
        <v>638</v>
      </c>
      <c r="E24" s="260" t="s">
        <v>643</v>
      </c>
      <c r="F24" s="404">
        <v>80</v>
      </c>
      <c r="G24" s="261" t="s">
        <v>638</v>
      </c>
      <c r="H24" s="45" t="s">
        <v>644</v>
      </c>
      <c r="I24" s="404">
        <v>86</v>
      </c>
      <c r="J24" s="261" t="s">
        <v>12</v>
      </c>
      <c r="K24" s="28"/>
      <c r="L24" s="369" t="s">
        <v>811</v>
      </c>
      <c r="M24" s="77">
        <v>112.68643759847485</v>
      </c>
      <c r="N24" s="371">
        <v>124.67741114608657</v>
      </c>
      <c r="O24" s="231">
        <v>171.36767472635944</v>
      </c>
      <c r="P24" s="29"/>
      <c r="R24" s="82" t="s">
        <v>44</v>
      </c>
      <c r="S24" s="28">
        <f>AF9/1000*S12</f>
        <v>25.767862295999997</v>
      </c>
      <c r="T24" s="36" t="s">
        <v>41</v>
      </c>
      <c r="U24" s="3"/>
      <c r="V24" s="3"/>
      <c r="W24" s="28"/>
      <c r="X24" s="3" t="s">
        <v>59</v>
      </c>
      <c r="Y24" s="28">
        <v>37</v>
      </c>
      <c r="Z24" s="3"/>
      <c r="AA24" s="28"/>
      <c r="AB24" s="276" t="s">
        <v>66</v>
      </c>
      <c r="AC24" s="277">
        <v>0</v>
      </c>
      <c r="AD24" s="276" t="s">
        <v>64</v>
      </c>
      <c r="AE24" s="26"/>
      <c r="AF24" s="3" t="s">
        <v>72</v>
      </c>
      <c r="AG24" s="6">
        <f>S28*0.004</f>
        <v>1.2</v>
      </c>
      <c r="AH24" s="2" t="s">
        <v>69</v>
      </c>
      <c r="AI24" s="3" t="s">
        <v>70</v>
      </c>
      <c r="AJ24" s="26"/>
      <c r="AK24" s="26"/>
      <c r="AL24" s="26" t="s">
        <v>78</v>
      </c>
      <c r="AM24" s="28">
        <v>350</v>
      </c>
      <c r="AN24" s="36" t="s">
        <v>79</v>
      </c>
      <c r="AO24" s="26"/>
      <c r="AP24" s="29"/>
    </row>
    <row r="25" spans="2:42" ht="17.25" thickBot="1">
      <c r="B25" s="61"/>
      <c r="C25" s="62"/>
      <c r="D25" s="62"/>
      <c r="E25" s="375" t="s">
        <v>641</v>
      </c>
      <c r="F25" s="433">
        <v>60</v>
      </c>
      <c r="G25" s="376" t="s">
        <v>638</v>
      </c>
      <c r="H25" s="375" t="s">
        <v>645</v>
      </c>
      <c r="I25" s="433">
        <v>95</v>
      </c>
      <c r="J25" s="376" t="s">
        <v>12</v>
      </c>
      <c r="K25" s="382"/>
      <c r="L25" s="377" t="s">
        <v>816</v>
      </c>
      <c r="M25" s="408">
        <v>100</v>
      </c>
      <c r="N25" s="408">
        <v>100</v>
      </c>
      <c r="O25" s="408">
        <v>100</v>
      </c>
      <c r="P25" s="64"/>
      <c r="R25" s="59" t="s">
        <v>45</v>
      </c>
      <c r="S25" s="400">
        <v>10</v>
      </c>
      <c r="T25" s="47" t="s">
        <v>46</v>
      </c>
      <c r="U25" s="3"/>
      <c r="V25" s="3"/>
      <c r="W25" s="28"/>
      <c r="X25" s="3" t="s">
        <v>60</v>
      </c>
      <c r="Y25" s="28">
        <v>12.5</v>
      </c>
      <c r="Z25" s="3"/>
      <c r="AA25" s="28"/>
      <c r="AB25" s="278" t="s">
        <v>71</v>
      </c>
      <c r="AC25" s="279">
        <v>0</v>
      </c>
      <c r="AD25" s="278" t="s">
        <v>65</v>
      </c>
      <c r="AE25" s="26"/>
      <c r="AF25" s="26"/>
      <c r="AG25" s="6">
        <f>AG24*3.6</f>
        <v>4.32</v>
      </c>
      <c r="AH25" s="35" t="s">
        <v>109</v>
      </c>
      <c r="AI25" s="26"/>
      <c r="AJ25" s="26"/>
      <c r="AK25" s="26"/>
      <c r="AL25" s="45" t="s">
        <v>75</v>
      </c>
      <c r="AM25" s="44">
        <f>F25</f>
        <v>60</v>
      </c>
      <c r="AN25" s="43" t="s">
        <v>11</v>
      </c>
      <c r="AO25" s="26"/>
      <c r="AP25" s="29"/>
    </row>
    <row r="26" spans="2:42" ht="17.25" thickBot="1">
      <c r="N26" s="10"/>
      <c r="R26" s="82" t="s">
        <v>47</v>
      </c>
      <c r="S26" s="28">
        <f>S24*S25</f>
        <v>257.67862295999998</v>
      </c>
      <c r="T26" s="3"/>
      <c r="U26" s="3"/>
      <c r="V26" s="3"/>
      <c r="W26" s="28"/>
      <c r="X26" s="3" t="s">
        <v>202</v>
      </c>
      <c r="Y26" s="28">
        <f>Y24-Y25</f>
        <v>24.5</v>
      </c>
      <c r="Z26" s="3"/>
      <c r="AA26" s="28"/>
      <c r="AB26" s="280"/>
      <c r="AC26" s="279">
        <v>0</v>
      </c>
      <c r="AD26" s="278" t="s">
        <v>109</v>
      </c>
      <c r="AE26" s="26"/>
      <c r="AF26" s="47" t="s">
        <v>678</v>
      </c>
      <c r="AG26" s="44">
        <f>C21</f>
        <v>1.3</v>
      </c>
      <c r="AH26" s="43"/>
      <c r="AI26" s="26"/>
      <c r="AJ26" s="26"/>
      <c r="AK26" s="26"/>
      <c r="AL26" s="26" t="s">
        <v>76</v>
      </c>
      <c r="AM26" s="28">
        <f>AM24*AF12/1000*S12</f>
        <v>8156.3044575319991</v>
      </c>
      <c r="AN26" s="36" t="s">
        <v>54</v>
      </c>
      <c r="AO26" s="26"/>
      <c r="AP26" s="29"/>
    </row>
    <row r="27" spans="2:42" ht="17.25" thickBot="1">
      <c r="R27" s="82" t="s">
        <v>55</v>
      </c>
      <c r="S27" s="28">
        <f>S26*0.15+S26</f>
        <v>296.330416404</v>
      </c>
      <c r="T27" s="36"/>
      <c r="U27" s="26"/>
      <c r="V27" s="3"/>
      <c r="W27" s="28"/>
      <c r="X27" s="2" t="s">
        <v>61</v>
      </c>
      <c r="Y27" s="6">
        <f>Y26*S31*0.034*24</f>
        <v>5046.5686756385603</v>
      </c>
      <c r="Z27" s="2" t="s">
        <v>62</v>
      </c>
      <c r="AA27" s="28"/>
      <c r="AB27" s="281" t="s">
        <v>678</v>
      </c>
      <c r="AC27" s="282">
        <v>0</v>
      </c>
      <c r="AD27" s="283"/>
      <c r="AE27" s="26"/>
      <c r="AF27" s="89" t="s">
        <v>197</v>
      </c>
      <c r="AG27" s="51">
        <f>AG26*AG25</f>
        <v>5.6160000000000005</v>
      </c>
      <c r="AH27" s="56" t="s">
        <v>109</v>
      </c>
      <c r="AI27" s="26"/>
      <c r="AJ27" s="26"/>
      <c r="AK27" s="26"/>
      <c r="AL27" s="26" t="s">
        <v>77</v>
      </c>
      <c r="AM27" s="28">
        <f>AM26/(AM25/100)*((100-AM25)/100)</f>
        <v>5437.5363050213336</v>
      </c>
      <c r="AN27" s="36" t="s">
        <v>54</v>
      </c>
      <c r="AO27" s="26"/>
      <c r="AP27" s="29"/>
    </row>
    <row r="28" spans="2:42" ht="17.25" thickBot="1">
      <c r="R28" s="25" t="s">
        <v>56</v>
      </c>
      <c r="S28" s="28">
        <f>ROUNDUP(S27,-2)</f>
        <v>300</v>
      </c>
      <c r="T28" s="3" t="s">
        <v>52</v>
      </c>
      <c r="U28" s="26"/>
      <c r="V28" s="26"/>
      <c r="W28" s="28"/>
      <c r="X28" s="3"/>
      <c r="Y28" s="6">
        <f>Y27*0.004184</f>
        <v>21.114843338871736</v>
      </c>
      <c r="Z28" s="2" t="s">
        <v>109</v>
      </c>
      <c r="AA28" s="28"/>
      <c r="AB28" s="284" t="s">
        <v>206</v>
      </c>
      <c r="AC28" s="285">
        <f>AC27*AC26</f>
        <v>0</v>
      </c>
      <c r="AD28" s="286" t="s">
        <v>109</v>
      </c>
      <c r="AE28" s="26"/>
      <c r="AF28" s="26"/>
      <c r="AG28" s="26"/>
      <c r="AH28" s="36"/>
      <c r="AI28" s="26"/>
      <c r="AJ28" s="26"/>
      <c r="AK28" s="26"/>
      <c r="AL28" s="27" t="s">
        <v>120</v>
      </c>
      <c r="AM28" s="6">
        <f>AM26/(AM25/100)</f>
        <v>13593.840762553333</v>
      </c>
      <c r="AN28" s="35" t="s">
        <v>80</v>
      </c>
      <c r="AO28" s="26"/>
      <c r="AP28" s="29"/>
    </row>
    <row r="29" spans="2:42" ht="15.75" thickBot="1">
      <c r="B29" s="17" t="s">
        <v>187</v>
      </c>
      <c r="R29" s="82" t="s">
        <v>48</v>
      </c>
      <c r="S29" s="28">
        <f>2*(S28/3/PI())^(1/3)</f>
        <v>6.3384057675490828</v>
      </c>
      <c r="T29" s="3" t="s">
        <v>49</v>
      </c>
      <c r="U29" s="3" t="s">
        <v>682</v>
      </c>
      <c r="V29" s="3"/>
      <c r="W29" s="28"/>
      <c r="X29" s="47" t="s">
        <v>678</v>
      </c>
      <c r="Y29" s="44">
        <f>C21</f>
        <v>1.3</v>
      </c>
      <c r="Z29" s="47"/>
      <c r="AA29" s="28"/>
      <c r="AB29" s="3"/>
      <c r="AC29" s="28"/>
      <c r="AD29" s="36"/>
      <c r="AE29" s="26"/>
      <c r="AF29" s="26"/>
      <c r="AG29" s="26"/>
      <c r="AH29" s="26"/>
      <c r="AI29" s="26"/>
      <c r="AJ29" s="26"/>
      <c r="AK29" s="26"/>
      <c r="AL29" s="26"/>
      <c r="AM29" s="26"/>
      <c r="AN29" s="36"/>
      <c r="AO29" s="26"/>
      <c r="AP29" s="29"/>
    </row>
    <row r="30" spans="2:42" ht="15.75" thickBot="1">
      <c r="B30" s="68"/>
      <c r="C30" s="19"/>
      <c r="D30" s="19"/>
      <c r="E30" s="19"/>
      <c r="F30" s="19"/>
      <c r="G30" s="21"/>
      <c r="H30" s="19"/>
      <c r="I30" s="19"/>
      <c r="J30" s="19"/>
      <c r="K30" s="21"/>
      <c r="L30" s="19"/>
      <c r="M30" s="19"/>
      <c r="N30" s="19"/>
      <c r="O30" s="21"/>
      <c r="P30" s="22"/>
      <c r="R30" s="82" t="s">
        <v>51</v>
      </c>
      <c r="S30" s="28">
        <f>S29/2*3</f>
        <v>9.5076086513236238</v>
      </c>
      <c r="T30" s="3" t="s">
        <v>49</v>
      </c>
      <c r="U30" s="26"/>
      <c r="V30" s="26"/>
      <c r="W30" s="28"/>
      <c r="X30" s="53" t="s">
        <v>196</v>
      </c>
      <c r="Y30" s="54">
        <f>Y29*Y28</f>
        <v>27.449296340533259</v>
      </c>
      <c r="Z30" s="55" t="s">
        <v>109</v>
      </c>
      <c r="AA30" s="28"/>
      <c r="AB30" s="36"/>
      <c r="AC30" s="26"/>
      <c r="AD30" s="36"/>
      <c r="AE30" s="26"/>
      <c r="AF30" s="26"/>
      <c r="AG30" s="26"/>
      <c r="AH30" s="26"/>
      <c r="AI30" s="26"/>
      <c r="AJ30" s="26"/>
      <c r="AK30" s="26"/>
      <c r="AL30" s="26"/>
      <c r="AM30" s="26"/>
      <c r="AN30" s="36"/>
      <c r="AO30" s="26"/>
      <c r="AP30" s="29"/>
    </row>
    <row r="31" spans="2:42">
      <c r="B31" s="34"/>
      <c r="C31" s="26"/>
      <c r="D31" s="26"/>
      <c r="E31" s="26"/>
      <c r="F31" s="69" t="s">
        <v>1</v>
      </c>
      <c r="G31" s="70">
        <f>C7*(1-G11/100)</f>
        <v>1754.6320000000028</v>
      </c>
      <c r="H31" s="71" t="s">
        <v>4</v>
      </c>
      <c r="I31" s="26"/>
      <c r="J31" s="69"/>
      <c r="K31" s="70"/>
      <c r="L31" s="71"/>
      <c r="M31" s="26"/>
      <c r="N31" s="26"/>
      <c r="O31" s="28"/>
      <c r="P31" s="29"/>
      <c r="R31" s="82" t="s">
        <v>689</v>
      </c>
      <c r="S31" s="28">
        <f>(((S29/2)^2*PI())*2)+((PI()*S29)*S30)</f>
        <v>252.42940554414565</v>
      </c>
      <c r="T31" s="3" t="s">
        <v>53</v>
      </c>
      <c r="U31" s="3"/>
      <c r="V31" s="3"/>
      <c r="W31" s="28"/>
      <c r="X31" s="36"/>
      <c r="Y31" s="26"/>
      <c r="Z31" s="36"/>
      <c r="AA31" s="28"/>
      <c r="AB31" s="3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9"/>
    </row>
    <row r="32" spans="2:42">
      <c r="B32" s="34"/>
      <c r="C32" s="26"/>
      <c r="D32" s="26"/>
      <c r="E32" s="26"/>
      <c r="F32" s="74"/>
      <c r="G32" s="28">
        <f>G31/24</f>
        <v>73.109666666666783</v>
      </c>
      <c r="H32" s="75" t="s">
        <v>6</v>
      </c>
      <c r="I32" s="26"/>
      <c r="J32" s="74"/>
      <c r="K32" s="28"/>
      <c r="L32" s="75"/>
      <c r="M32" s="26"/>
      <c r="N32" s="26"/>
      <c r="O32" s="28"/>
      <c r="P32" s="29"/>
      <c r="R32" s="25"/>
      <c r="S32" s="28"/>
      <c r="T32" s="3"/>
      <c r="U32" s="26"/>
      <c r="V32" s="26"/>
      <c r="W32" s="28"/>
      <c r="X32" s="35" t="s">
        <v>374</v>
      </c>
      <c r="Y32" s="26"/>
      <c r="Z32" s="36"/>
      <c r="AA32" s="28"/>
      <c r="AB32" s="36"/>
      <c r="AC32" s="26"/>
      <c r="AD32" s="26"/>
      <c r="AE32" s="26"/>
      <c r="AF32" s="27" t="s">
        <v>377</v>
      </c>
      <c r="AG32" s="26"/>
      <c r="AH32" s="26"/>
      <c r="AI32" s="26"/>
      <c r="AJ32" s="27" t="s">
        <v>379</v>
      </c>
      <c r="AK32" s="26"/>
      <c r="AL32" s="26"/>
      <c r="AM32" s="26"/>
      <c r="AN32" s="26"/>
      <c r="AO32" s="26"/>
      <c r="AP32" s="29"/>
    </row>
    <row r="33" spans="2:42">
      <c r="B33" s="34"/>
      <c r="C33" s="26"/>
      <c r="D33" s="26"/>
      <c r="E33" s="26"/>
      <c r="F33" s="74" t="s">
        <v>2</v>
      </c>
      <c r="G33" s="28">
        <f>C10*(G11/100)</f>
        <v>62075.925999999992</v>
      </c>
      <c r="H33" s="75" t="s">
        <v>4</v>
      </c>
      <c r="I33" s="26"/>
      <c r="J33" s="74" t="s">
        <v>2</v>
      </c>
      <c r="K33" s="28">
        <f>K10*(K16/100)</f>
        <v>5266.9217040000085</v>
      </c>
      <c r="L33" s="75" t="s">
        <v>4</v>
      </c>
      <c r="M33" s="26"/>
      <c r="N33" s="26"/>
      <c r="O33" s="28"/>
      <c r="P33" s="29"/>
      <c r="R33" s="82" t="s">
        <v>688</v>
      </c>
      <c r="S33" s="28">
        <f>(S29/2)^2*PI()*S30</f>
        <v>299.99999999999989</v>
      </c>
      <c r="T33" s="3" t="s">
        <v>52</v>
      </c>
      <c r="U33" s="26"/>
      <c r="V33" s="26"/>
      <c r="W33" s="28"/>
      <c r="X33" s="35" t="s">
        <v>375</v>
      </c>
      <c r="Y33" s="26"/>
      <c r="Z33" s="36"/>
      <c r="AA33" s="28"/>
      <c r="AB33" s="27" t="s">
        <v>376</v>
      </c>
      <c r="AC33" s="26"/>
      <c r="AD33" s="26"/>
      <c r="AE33" s="26"/>
      <c r="AF33" s="27" t="s">
        <v>378</v>
      </c>
      <c r="AG33" s="26"/>
      <c r="AH33" s="26"/>
      <c r="AI33" s="26"/>
      <c r="AJ33" s="27" t="s">
        <v>380</v>
      </c>
      <c r="AK33" s="26"/>
      <c r="AL33" s="26"/>
      <c r="AM33" s="26"/>
      <c r="AN33" s="26"/>
      <c r="AO33" s="26"/>
      <c r="AP33" s="29"/>
    </row>
    <row r="34" spans="2:42">
      <c r="B34" s="34"/>
      <c r="C34" s="26"/>
      <c r="D34" s="26"/>
      <c r="E34" s="26"/>
      <c r="F34" s="74"/>
      <c r="G34" s="28">
        <f>G33/24</f>
        <v>2586.4969166666665</v>
      </c>
      <c r="H34" s="75" t="s">
        <v>5</v>
      </c>
      <c r="I34" s="26"/>
      <c r="J34" s="74"/>
      <c r="K34" s="28">
        <f>K33/24</f>
        <v>219.45507100000034</v>
      </c>
      <c r="L34" s="75" t="s">
        <v>5</v>
      </c>
      <c r="M34" s="26"/>
      <c r="N34" s="26"/>
      <c r="O34" s="28"/>
      <c r="P34" s="29"/>
      <c r="R34" s="34"/>
      <c r="S34" s="49"/>
      <c r="T34" s="32"/>
      <c r="U34" s="49"/>
      <c r="V34" s="33"/>
      <c r="W34" s="36"/>
      <c r="X34" s="36"/>
      <c r="Y34" s="26"/>
      <c r="Z34" s="36"/>
      <c r="AA34" s="28"/>
      <c r="AB34" s="35" t="s">
        <v>94</v>
      </c>
      <c r="AC34" s="26"/>
      <c r="AD34" s="26"/>
      <c r="AE34" s="26"/>
      <c r="AF34" s="36" t="s">
        <v>101</v>
      </c>
      <c r="AG34" s="28">
        <v>9500</v>
      </c>
      <c r="AH34" s="36" t="s">
        <v>102</v>
      </c>
      <c r="AI34" s="26"/>
      <c r="AJ34" s="36" t="s">
        <v>129</v>
      </c>
      <c r="AK34" s="28">
        <f>S24</f>
        <v>25.767862295999997</v>
      </c>
      <c r="AL34" s="36" t="s">
        <v>41</v>
      </c>
      <c r="AM34" s="36"/>
      <c r="AN34" s="26"/>
      <c r="AO34" s="26"/>
      <c r="AP34" s="29"/>
    </row>
    <row r="35" spans="2:42">
      <c r="B35" s="34"/>
      <c r="C35" s="26"/>
      <c r="D35" s="26"/>
      <c r="E35" s="26"/>
      <c r="F35" s="76" t="s">
        <v>25</v>
      </c>
      <c r="G35" s="77">
        <f>G10</f>
        <v>20209.2</v>
      </c>
      <c r="H35" s="78" t="s">
        <v>20</v>
      </c>
      <c r="I35" s="26"/>
      <c r="J35" s="76" t="s">
        <v>30</v>
      </c>
      <c r="K35" s="77">
        <f>K13</f>
        <v>20597.367999999999</v>
      </c>
      <c r="L35" s="78" t="s">
        <v>20</v>
      </c>
      <c r="M35" s="26"/>
      <c r="N35" s="26"/>
      <c r="O35" s="28"/>
      <c r="P35" s="29"/>
      <c r="R35" s="34"/>
      <c r="S35" s="49"/>
      <c r="T35" s="32"/>
      <c r="U35" s="49"/>
      <c r="V35" s="33"/>
      <c r="W35" s="36"/>
      <c r="X35" s="36" t="s">
        <v>83</v>
      </c>
      <c r="Y35" s="26"/>
      <c r="Z35" s="36"/>
      <c r="AA35" s="28"/>
      <c r="AB35" s="36" t="s">
        <v>88</v>
      </c>
      <c r="AC35" s="32">
        <f>AM28/24</f>
        <v>566.41003177305549</v>
      </c>
      <c r="AD35" s="3" t="s">
        <v>87</v>
      </c>
      <c r="AE35" s="26"/>
      <c r="AF35" s="36" t="s">
        <v>100</v>
      </c>
      <c r="AG35" s="28">
        <f>AM26*AG34</f>
        <v>77484892.346553996</v>
      </c>
      <c r="AH35" s="36" t="s">
        <v>103</v>
      </c>
      <c r="AI35" s="26"/>
      <c r="AJ35" s="36" t="s">
        <v>125</v>
      </c>
      <c r="AK35" s="28">
        <f>((V10*(100-O12)/100)+(V9*S13/100))/1000</f>
        <v>1.4605314017066666</v>
      </c>
      <c r="AL35" s="36" t="s">
        <v>123</v>
      </c>
      <c r="AM35" s="36"/>
      <c r="AN35" s="26"/>
      <c r="AO35" s="26"/>
      <c r="AP35" s="29"/>
    </row>
    <row r="36" spans="2:42">
      <c r="B36" s="34"/>
      <c r="C36" s="26"/>
      <c r="D36" s="26"/>
      <c r="E36" s="26"/>
      <c r="F36" s="26" t="s">
        <v>776</v>
      </c>
      <c r="G36" s="96">
        <f>G31/(G31+G33)</f>
        <v>2.7488902729003291E-2</v>
      </c>
      <c r="H36" s="26" t="s">
        <v>787</v>
      </c>
      <c r="I36" s="26"/>
      <c r="J36" s="26"/>
      <c r="K36" s="28"/>
      <c r="L36" s="26"/>
      <c r="M36" s="26"/>
      <c r="N36" s="26"/>
      <c r="O36" s="28"/>
      <c r="P36" s="29"/>
      <c r="R36" s="34"/>
      <c r="S36" s="3"/>
      <c r="T36" s="32"/>
      <c r="U36" s="49"/>
      <c r="V36" s="33"/>
      <c r="W36" s="36"/>
      <c r="X36" s="36" t="s">
        <v>84</v>
      </c>
      <c r="Y36" s="26"/>
      <c r="Z36" s="36"/>
      <c r="AA36" s="28"/>
      <c r="AB36" s="36"/>
      <c r="AC36" s="28">
        <v>3.2934131736526949E-2</v>
      </c>
      <c r="AD36" s="36" t="s">
        <v>89</v>
      </c>
      <c r="AE36" s="26"/>
      <c r="AF36" s="36"/>
      <c r="AG36" s="6">
        <f>AG35*0.004184</f>
        <v>324196.78957798192</v>
      </c>
      <c r="AH36" s="36" t="s">
        <v>109</v>
      </c>
      <c r="AI36" s="26"/>
      <c r="AJ36" s="36" t="s">
        <v>126</v>
      </c>
      <c r="AK36" s="28">
        <f>AK35</f>
        <v>1.4605314017066666</v>
      </c>
      <c r="AL36" s="36" t="s">
        <v>124</v>
      </c>
      <c r="AM36" s="36"/>
      <c r="AN36" s="26"/>
      <c r="AO36" s="26"/>
      <c r="AP36" s="29"/>
    </row>
    <row r="37" spans="2:42">
      <c r="B37" s="34"/>
      <c r="C37" s="26"/>
      <c r="D37" s="26"/>
      <c r="E37" s="26"/>
      <c r="F37" s="26" t="s">
        <v>777</v>
      </c>
      <c r="G37" s="96">
        <f>G33/(G31+G33)</f>
        <v>0.97251109727099672</v>
      </c>
      <c r="H37" s="26" t="s">
        <v>787</v>
      </c>
      <c r="I37" s="26"/>
      <c r="J37" s="26"/>
      <c r="K37" s="28"/>
      <c r="L37" s="26"/>
      <c r="M37" s="26"/>
      <c r="N37" s="26"/>
      <c r="O37" s="28"/>
      <c r="P37" s="29"/>
      <c r="R37" s="34"/>
      <c r="S37" s="49"/>
      <c r="T37" s="32"/>
      <c r="U37" s="49"/>
      <c r="V37" s="33"/>
      <c r="W37" s="36"/>
      <c r="X37" s="38">
        <v>32.26</v>
      </c>
      <c r="Y37" s="40" t="s">
        <v>251</v>
      </c>
      <c r="Z37" s="36"/>
      <c r="AA37" s="28"/>
      <c r="AB37" s="36" t="s">
        <v>91</v>
      </c>
      <c r="AC37" s="28">
        <v>2.9</v>
      </c>
      <c r="AD37" s="36" t="s">
        <v>92</v>
      </c>
      <c r="AE37" s="26"/>
      <c r="AF37" s="36"/>
      <c r="AG37" s="26"/>
      <c r="AH37" s="36"/>
      <c r="AI37" s="26"/>
      <c r="AJ37" s="35" t="s">
        <v>131</v>
      </c>
      <c r="AK37" s="6">
        <f>(AK35-AK36)+((AK36*(1-(AM23/100))))</f>
        <v>0.29210628034133324</v>
      </c>
      <c r="AL37" s="35" t="s">
        <v>128</v>
      </c>
      <c r="AM37" s="36" t="s">
        <v>127</v>
      </c>
      <c r="AN37" s="26"/>
      <c r="AO37" s="26"/>
      <c r="AP37" s="29"/>
    </row>
    <row r="38" spans="2:42">
      <c r="B38" s="34"/>
      <c r="C38" s="26"/>
      <c r="D38" s="26"/>
      <c r="E38" s="26"/>
      <c r="F38" s="69"/>
      <c r="G38" s="70"/>
      <c r="H38" s="79"/>
      <c r="I38" s="79"/>
      <c r="J38" s="79" t="s">
        <v>34</v>
      </c>
      <c r="K38" s="70"/>
      <c r="L38" s="79"/>
      <c r="M38" s="74"/>
      <c r="N38" s="26"/>
      <c r="O38" s="28"/>
      <c r="P38" s="29"/>
      <c r="Q38" s="26"/>
      <c r="R38" s="34"/>
      <c r="S38" s="49"/>
      <c r="T38" s="32"/>
      <c r="U38" s="49"/>
      <c r="V38" s="33"/>
      <c r="W38" s="36"/>
      <c r="X38" s="164">
        <f>X37*AM28/1000/1000</f>
        <v>0.43853730299997051</v>
      </c>
      <c r="Y38" s="40" t="s">
        <v>41</v>
      </c>
      <c r="Z38" s="36"/>
      <c r="AA38" s="28"/>
      <c r="AB38" s="38" t="s">
        <v>209</v>
      </c>
      <c r="AC38" s="39">
        <f>AC35*AC36/AC37</f>
        <v>6.4324905528635252</v>
      </c>
      <c r="AD38" s="38" t="s">
        <v>90</v>
      </c>
      <c r="AE38" s="26" t="s">
        <v>93</v>
      </c>
      <c r="AF38" s="43" t="s">
        <v>107</v>
      </c>
      <c r="AG38" s="44">
        <f>I21</f>
        <v>30</v>
      </c>
      <c r="AH38" s="43" t="s">
        <v>12</v>
      </c>
      <c r="AI38" s="26"/>
      <c r="AJ38" s="36" t="s">
        <v>130</v>
      </c>
      <c r="AK38" s="28">
        <v>85</v>
      </c>
      <c r="AL38" s="36" t="s">
        <v>12</v>
      </c>
      <c r="AM38" s="36" t="s">
        <v>687</v>
      </c>
      <c r="AN38" s="26"/>
      <c r="AO38" s="26"/>
      <c r="AP38" s="29"/>
    </row>
    <row r="39" spans="2:42">
      <c r="B39" s="34"/>
      <c r="C39" s="26"/>
      <c r="D39" s="26"/>
      <c r="E39" s="26"/>
      <c r="F39" s="74" t="s">
        <v>33</v>
      </c>
      <c r="G39" s="28">
        <f>G31</f>
        <v>1754.6320000000028</v>
      </c>
      <c r="H39" s="26" t="s">
        <v>4</v>
      </c>
      <c r="I39" s="26"/>
      <c r="J39" s="28">
        <f>G39*C13</f>
        <v>2333.6605600000039</v>
      </c>
      <c r="K39" s="28" t="s">
        <v>38</v>
      </c>
      <c r="L39" s="26"/>
      <c r="M39" s="74"/>
      <c r="N39" s="26"/>
      <c r="O39" s="28"/>
      <c r="P39" s="29"/>
      <c r="Q39" s="26"/>
      <c r="R39" s="34"/>
      <c r="S39" s="49"/>
      <c r="T39" s="32"/>
      <c r="U39" s="49"/>
      <c r="V39" s="33"/>
      <c r="W39" s="36"/>
      <c r="X39" s="36"/>
      <c r="Y39" s="26"/>
      <c r="Z39" s="36"/>
      <c r="AA39" s="28"/>
      <c r="AB39" s="95"/>
      <c r="AC39" s="39">
        <f>AC38/180*1000</f>
        <v>35.736058627019581</v>
      </c>
      <c r="AD39" s="38" t="s">
        <v>20</v>
      </c>
      <c r="AE39" s="26"/>
      <c r="AF39" s="43" t="s">
        <v>108</v>
      </c>
      <c r="AG39" s="44">
        <f>I22</f>
        <v>50</v>
      </c>
      <c r="AH39" s="43" t="s">
        <v>12</v>
      </c>
      <c r="AI39" s="26"/>
      <c r="AJ39" s="308" t="s">
        <v>685</v>
      </c>
      <c r="AK39" s="236">
        <f>200/10000</f>
        <v>0.02</v>
      </c>
      <c r="AL39" s="38" t="s">
        <v>608</v>
      </c>
      <c r="AM39" s="38"/>
      <c r="AN39" s="39" t="s">
        <v>611</v>
      </c>
      <c r="AO39" s="40">
        <f>AK40/2*1000</f>
        <v>2.5767862295999997</v>
      </c>
      <c r="AP39" s="239" t="s">
        <v>613</v>
      </c>
    </row>
    <row r="40" spans="2:42" ht="15.75" thickBot="1">
      <c r="B40" s="34"/>
      <c r="C40" s="26"/>
      <c r="D40" s="26"/>
      <c r="E40" s="26"/>
      <c r="F40" s="74"/>
      <c r="G40" s="28">
        <f>G39/24</f>
        <v>73.109666666666783</v>
      </c>
      <c r="H40" s="26" t="s">
        <v>5</v>
      </c>
      <c r="I40" s="26"/>
      <c r="J40" s="28">
        <f>J39/1000</f>
        <v>2.3336605600000038</v>
      </c>
      <c r="K40" s="28" t="s">
        <v>42</v>
      </c>
      <c r="L40" s="26"/>
      <c r="M40" s="74"/>
      <c r="N40" s="26"/>
      <c r="O40" s="28"/>
      <c r="P40" s="29"/>
      <c r="Q40" s="26"/>
      <c r="R40" s="34"/>
      <c r="S40" s="36"/>
      <c r="T40" s="28"/>
      <c r="U40" s="36"/>
      <c r="V40" s="26"/>
      <c r="W40" s="36"/>
      <c r="X40" s="36"/>
      <c r="Y40" s="26"/>
      <c r="Z40" s="36"/>
      <c r="AA40" s="28"/>
      <c r="AB40" s="3"/>
      <c r="AC40" s="85"/>
      <c r="AD40" s="3"/>
      <c r="AE40" s="26"/>
      <c r="AF40" s="49" t="s">
        <v>106</v>
      </c>
      <c r="AG40" s="32">
        <f>AG35*AG38/100</f>
        <v>23245467.703966197</v>
      </c>
      <c r="AH40" s="49" t="s">
        <v>103</v>
      </c>
      <c r="AI40" s="26"/>
      <c r="AJ40" s="38"/>
      <c r="AK40" s="236">
        <f>AK34*AK39/100</f>
        <v>5.1535724591999996E-3</v>
      </c>
      <c r="AL40" s="38" t="s">
        <v>41</v>
      </c>
      <c r="AM40" s="38"/>
      <c r="AN40" s="39" t="s">
        <v>612</v>
      </c>
      <c r="AO40" s="40">
        <f>AK40/2*1000</f>
        <v>2.5767862295999997</v>
      </c>
      <c r="AP40" s="239" t="s">
        <v>613</v>
      </c>
    </row>
    <row r="41" spans="2:42" ht="15.75" thickBot="1">
      <c r="B41" s="34"/>
      <c r="C41" s="26"/>
      <c r="D41" s="26"/>
      <c r="E41" s="26"/>
      <c r="F41" s="74" t="s">
        <v>36</v>
      </c>
      <c r="G41" s="28">
        <f>G33+K33</f>
        <v>67342.847704</v>
      </c>
      <c r="H41" s="26" t="s">
        <v>4</v>
      </c>
      <c r="I41" s="26"/>
      <c r="J41" s="28">
        <f>G41*C14</f>
        <v>58588.277502479999</v>
      </c>
      <c r="K41" s="28" t="s">
        <v>38</v>
      </c>
      <c r="L41" s="26"/>
      <c r="M41" s="74"/>
      <c r="N41" s="26"/>
      <c r="O41" s="28"/>
      <c r="P41" s="29"/>
      <c r="Q41" s="26"/>
      <c r="R41" s="34"/>
      <c r="S41" s="26"/>
      <c r="T41" s="28"/>
      <c r="U41" s="26"/>
      <c r="V41" s="26"/>
      <c r="W41" s="26"/>
      <c r="X41" s="36"/>
      <c r="Y41" s="26"/>
      <c r="Z41" s="36"/>
      <c r="AA41" s="28"/>
      <c r="AB41" s="3"/>
      <c r="AC41" s="85"/>
      <c r="AD41" s="3"/>
      <c r="AE41" s="26"/>
      <c r="AF41" s="50" t="s">
        <v>208</v>
      </c>
      <c r="AG41" s="51">
        <f>AG40*0.004184</f>
        <v>97259.036873394565</v>
      </c>
      <c r="AH41" s="58" t="s">
        <v>109</v>
      </c>
      <c r="AI41" s="26"/>
      <c r="AJ41" s="8"/>
      <c r="AK41" s="8"/>
      <c r="AL41" s="8"/>
      <c r="AM41" s="8"/>
      <c r="AN41" s="39" t="s">
        <v>614</v>
      </c>
      <c r="AO41" s="164">
        <f>AO39*4/9</f>
        <v>1.1452383242666666</v>
      </c>
      <c r="AP41" s="239" t="s">
        <v>613</v>
      </c>
    </row>
    <row r="42" spans="2:42" ht="15.75" thickBot="1">
      <c r="B42" s="34"/>
      <c r="C42" s="26"/>
      <c r="D42" s="26"/>
      <c r="E42" s="26"/>
      <c r="F42" s="74"/>
      <c r="G42" s="28">
        <f>G41/24</f>
        <v>2805.9519876666668</v>
      </c>
      <c r="H42" s="26" t="s">
        <v>5</v>
      </c>
      <c r="I42" s="26"/>
      <c r="J42" s="28">
        <f>J41/1000</f>
        <v>58.588277502479997</v>
      </c>
      <c r="K42" s="28" t="s">
        <v>42</v>
      </c>
      <c r="L42" s="26"/>
      <c r="M42" s="74"/>
      <c r="N42" s="26"/>
      <c r="O42" s="28"/>
      <c r="P42" s="29"/>
      <c r="Q42" s="26"/>
      <c r="R42" s="34"/>
      <c r="S42" s="26"/>
      <c r="T42" s="28"/>
      <c r="U42" s="26"/>
      <c r="V42" s="26"/>
      <c r="W42" s="26"/>
      <c r="X42" s="36"/>
      <c r="Y42" s="26"/>
      <c r="Z42" s="36"/>
      <c r="AA42" s="28"/>
      <c r="AB42" s="35" t="s">
        <v>86</v>
      </c>
      <c r="AC42" s="86"/>
      <c r="AD42" s="36"/>
      <c r="AE42" s="26"/>
      <c r="AF42" s="49" t="s">
        <v>105</v>
      </c>
      <c r="AG42" s="32">
        <f>AG35*AG39/100</f>
        <v>38742446.173276998</v>
      </c>
      <c r="AH42" s="49" t="s">
        <v>103</v>
      </c>
      <c r="AI42" s="26"/>
      <c r="AJ42" s="92" t="s">
        <v>132</v>
      </c>
      <c r="AK42" s="83">
        <f>AK37/((100-AK38)/100)+AK40</f>
        <v>1.9525287747347551</v>
      </c>
      <c r="AL42" s="92" t="s">
        <v>133</v>
      </c>
      <c r="AM42" s="36"/>
      <c r="AN42" s="39" t="s">
        <v>615</v>
      </c>
      <c r="AO42" s="164">
        <f>AO40/3</f>
        <v>0.8589287431999999</v>
      </c>
      <c r="AP42" s="239" t="s">
        <v>613</v>
      </c>
    </row>
    <row r="43" spans="2:42" ht="15.75" thickBot="1">
      <c r="B43" s="34"/>
      <c r="C43" s="26"/>
      <c r="D43" s="26"/>
      <c r="E43" s="26"/>
      <c r="F43" s="74" t="s">
        <v>37</v>
      </c>
      <c r="G43" s="28">
        <f>G35+K35</f>
        <v>40806.567999999999</v>
      </c>
      <c r="H43" s="26" t="s">
        <v>20</v>
      </c>
      <c r="I43" s="26"/>
      <c r="J43" s="28"/>
      <c r="K43" s="28"/>
      <c r="L43" s="26"/>
      <c r="M43" s="74"/>
      <c r="N43" s="26"/>
      <c r="O43" s="28"/>
      <c r="P43" s="29"/>
      <c r="Q43" s="26"/>
      <c r="R43" s="34"/>
      <c r="S43" s="26"/>
      <c r="T43" s="28"/>
      <c r="U43" s="26"/>
      <c r="V43" s="26"/>
      <c r="W43" s="26"/>
      <c r="X43" s="36"/>
      <c r="Y43" s="26"/>
      <c r="Z43" s="36"/>
      <c r="AA43" s="28"/>
      <c r="AB43" s="36"/>
      <c r="AC43" s="86"/>
      <c r="AD43" s="36"/>
      <c r="AE43" s="26"/>
      <c r="AF43" s="53" t="s">
        <v>207</v>
      </c>
      <c r="AG43" s="54">
        <f>AG42*0.004184</f>
        <v>162098.39478899096</v>
      </c>
      <c r="AH43" s="94" t="s">
        <v>109</v>
      </c>
      <c r="AI43" s="26"/>
      <c r="AJ43" s="50" t="s">
        <v>250</v>
      </c>
      <c r="AK43" s="51">
        <f>7.6*(AK37+AK40)*3.6*2</f>
        <v>16.26605914524518</v>
      </c>
      <c r="AL43" s="58" t="s">
        <v>110</v>
      </c>
      <c r="AM43" s="36"/>
      <c r="AN43" s="26"/>
      <c r="AO43" s="26"/>
      <c r="AP43" s="29"/>
    </row>
    <row r="44" spans="2:42">
      <c r="B44" s="34"/>
      <c r="C44" s="26"/>
      <c r="D44" s="26"/>
      <c r="E44" s="26"/>
      <c r="F44" s="74"/>
      <c r="G44" s="28"/>
      <c r="H44" s="26"/>
      <c r="I44" s="26"/>
      <c r="J44" s="26"/>
      <c r="K44" s="28"/>
      <c r="L44" s="26"/>
      <c r="M44" s="74"/>
      <c r="N44" s="26"/>
      <c r="O44" s="28"/>
      <c r="P44" s="29"/>
      <c r="Q44" s="26"/>
      <c r="R44" s="34"/>
      <c r="S44" s="26"/>
      <c r="T44" s="28"/>
      <c r="U44" s="26"/>
      <c r="V44" s="26"/>
      <c r="W44" s="26"/>
      <c r="X44" s="36"/>
      <c r="Y44" s="26"/>
      <c r="Z44" s="36"/>
      <c r="AA44" s="28"/>
      <c r="AB44" s="43" t="s">
        <v>95</v>
      </c>
      <c r="AC44" s="44">
        <v>60</v>
      </c>
      <c r="AD44" s="43" t="s">
        <v>12</v>
      </c>
      <c r="AE44" s="26"/>
      <c r="AF44" s="36"/>
      <c r="AG44" s="28"/>
      <c r="AH44" s="36"/>
      <c r="AI44" s="26"/>
      <c r="AJ44" s="35" t="s">
        <v>381</v>
      </c>
      <c r="AK44" s="26"/>
      <c r="AL44" s="36"/>
      <c r="AM44" s="4"/>
      <c r="AN44" s="26"/>
      <c r="AO44" s="26"/>
      <c r="AP44" s="29"/>
    </row>
    <row r="45" spans="2:42">
      <c r="B45" s="34"/>
      <c r="C45" s="26"/>
      <c r="D45" s="26"/>
      <c r="E45" s="26"/>
      <c r="F45" s="74"/>
      <c r="G45" s="28"/>
      <c r="H45" s="26"/>
      <c r="I45" s="26"/>
      <c r="J45" s="26"/>
      <c r="K45" s="28"/>
      <c r="L45" s="26"/>
      <c r="M45" s="74"/>
      <c r="N45" s="26"/>
      <c r="O45" s="28"/>
      <c r="P45" s="29"/>
      <c r="Q45" s="26"/>
      <c r="R45" s="34"/>
      <c r="S45" s="26"/>
      <c r="T45" s="28"/>
      <c r="U45" s="26"/>
      <c r="V45" s="26"/>
      <c r="W45" s="26"/>
      <c r="X45" s="36"/>
      <c r="Y45" s="26"/>
      <c r="Z45" s="26"/>
      <c r="AA45" s="28"/>
      <c r="AB45" s="36" t="s">
        <v>729</v>
      </c>
      <c r="AC45" s="28">
        <v>24516.6</v>
      </c>
      <c r="AD45" s="36" t="s">
        <v>96</v>
      </c>
      <c r="AE45" s="26"/>
      <c r="AF45" s="91" t="s">
        <v>111</v>
      </c>
      <c r="AG45" s="87">
        <f>AG36-AG41-AG43</f>
        <v>64839.357915596396</v>
      </c>
      <c r="AH45" s="93" t="s">
        <v>109</v>
      </c>
      <c r="AI45" s="26"/>
      <c r="AJ45" s="92" t="s">
        <v>134</v>
      </c>
      <c r="AK45" s="83">
        <f>AK34-AK42</f>
        <v>23.815333521265242</v>
      </c>
      <c r="AL45" s="92" t="s">
        <v>41</v>
      </c>
      <c r="AM45" s="36"/>
      <c r="AN45" s="26"/>
      <c r="AO45" s="26"/>
      <c r="AP45" s="29"/>
    </row>
    <row r="46" spans="2:42">
      <c r="B46" s="34"/>
      <c r="C46" s="26"/>
      <c r="D46" s="26"/>
      <c r="E46" s="26"/>
      <c r="F46" s="74" t="s">
        <v>35</v>
      </c>
      <c r="G46" s="28">
        <f>SUM(G39+G41+G43)</f>
        <v>109904.047704</v>
      </c>
      <c r="H46" s="26" t="s">
        <v>20</v>
      </c>
      <c r="I46" s="26"/>
      <c r="J46" s="26"/>
      <c r="K46" s="28"/>
      <c r="L46" s="26"/>
      <c r="M46" s="74"/>
      <c r="N46" s="26"/>
      <c r="O46" s="28"/>
      <c r="P46" s="29"/>
      <c r="Q46" s="26"/>
      <c r="R46" s="34"/>
      <c r="S46" s="26"/>
      <c r="T46" s="28"/>
      <c r="U46" s="26"/>
      <c r="V46" s="26"/>
      <c r="W46" s="26"/>
      <c r="X46" s="36"/>
      <c r="Y46" s="26"/>
      <c r="Z46" s="26"/>
      <c r="AA46" s="28"/>
      <c r="AB46" s="36"/>
      <c r="AC46" s="28">
        <f>AC35/(AC44/100)*AC45/3600/1000</f>
        <v>6.4289111967441164</v>
      </c>
      <c r="AD46" s="36" t="s">
        <v>97</v>
      </c>
      <c r="AE46" s="26"/>
      <c r="AF46" s="36"/>
      <c r="AG46" s="26"/>
      <c r="AH46" s="36"/>
      <c r="AI46" s="26"/>
      <c r="AJ46" s="35"/>
      <c r="AK46" s="26"/>
      <c r="AL46" s="36"/>
      <c r="AM46" s="36"/>
      <c r="AN46" s="26"/>
      <c r="AO46" s="26"/>
      <c r="AP46" s="29"/>
    </row>
    <row r="47" spans="2:42" ht="15.75" thickBot="1">
      <c r="B47" s="34"/>
      <c r="C47" s="26"/>
      <c r="D47" s="26"/>
      <c r="E47" s="26"/>
      <c r="F47" s="76"/>
      <c r="G47" s="77">
        <f>G46/1000</f>
        <v>109.90404770399999</v>
      </c>
      <c r="H47" s="81" t="s">
        <v>41</v>
      </c>
      <c r="I47" s="81"/>
      <c r="J47" s="81"/>
      <c r="K47" s="77"/>
      <c r="L47" s="81"/>
      <c r="M47" s="74"/>
      <c r="N47" s="26"/>
      <c r="O47" s="28"/>
      <c r="P47" s="29"/>
      <c r="Q47" s="26"/>
      <c r="R47" s="34"/>
      <c r="S47" s="26"/>
      <c r="T47" s="28"/>
      <c r="U47" s="26"/>
      <c r="V47" s="26"/>
      <c r="W47" s="26"/>
      <c r="X47" s="36"/>
      <c r="Y47" s="26"/>
      <c r="Z47" s="26"/>
      <c r="AA47" s="28"/>
      <c r="AB47" s="49"/>
      <c r="AC47" s="32">
        <f>AC46*860</f>
        <v>5528.8636291999401</v>
      </c>
      <c r="AD47" s="49" t="s">
        <v>98</v>
      </c>
      <c r="AE47" s="26"/>
      <c r="AF47" s="36"/>
      <c r="AG47" s="26"/>
      <c r="AH47" s="36"/>
      <c r="AI47" s="26"/>
      <c r="AJ47" s="35" t="s">
        <v>734</v>
      </c>
      <c r="AK47" s="26"/>
      <c r="AL47" s="36"/>
      <c r="AM47" s="36"/>
      <c r="AN47" s="26"/>
      <c r="AO47" s="26"/>
      <c r="AP47" s="29"/>
    </row>
    <row r="48" spans="2:42" ht="15.75" thickBot="1">
      <c r="B48" s="34"/>
      <c r="C48" s="26"/>
      <c r="D48" s="26"/>
      <c r="E48" s="26"/>
      <c r="F48" s="26"/>
      <c r="G48" s="28"/>
      <c r="H48" s="26"/>
      <c r="I48" s="26"/>
      <c r="J48" s="26"/>
      <c r="K48" s="28"/>
      <c r="L48" s="26"/>
      <c r="M48" s="26"/>
      <c r="N48" s="26"/>
      <c r="O48" s="28"/>
      <c r="P48" s="29"/>
      <c r="R48" s="34"/>
      <c r="S48" s="26"/>
      <c r="T48" s="28"/>
      <c r="U48" s="26"/>
      <c r="V48" s="26"/>
      <c r="W48" s="26"/>
      <c r="X48" s="36"/>
      <c r="Y48" s="26"/>
      <c r="Z48" s="26"/>
      <c r="AA48" s="28"/>
      <c r="AB48" s="50" t="s">
        <v>150</v>
      </c>
      <c r="AC48" s="51">
        <f>AC47*0.004184*24</f>
        <v>555.18637018974118</v>
      </c>
      <c r="AD48" s="58" t="s">
        <v>109</v>
      </c>
      <c r="AE48" s="26"/>
      <c r="AF48" s="36"/>
      <c r="AG48" s="26"/>
      <c r="AH48" s="36"/>
      <c r="AI48" s="26"/>
      <c r="AJ48" s="35" t="s">
        <v>132</v>
      </c>
      <c r="AK48" s="6">
        <f>AK35</f>
        <v>1.4605314017066666</v>
      </c>
      <c r="AL48" s="35" t="s">
        <v>133</v>
      </c>
      <c r="AM48" s="36"/>
      <c r="AN48" s="26"/>
      <c r="AO48" s="26"/>
      <c r="AP48" s="29"/>
    </row>
    <row r="49" spans="2:42" ht="15.75" thickBot="1">
      <c r="B49" s="61"/>
      <c r="C49" s="62"/>
      <c r="D49" s="62"/>
      <c r="E49" s="62"/>
      <c r="F49" s="62"/>
      <c r="G49" s="63"/>
      <c r="H49" s="62"/>
      <c r="I49" s="62"/>
      <c r="J49" s="62"/>
      <c r="K49" s="63"/>
      <c r="L49" s="62"/>
      <c r="M49" s="62"/>
      <c r="N49" s="62"/>
      <c r="O49" s="63"/>
      <c r="P49" s="64"/>
      <c r="R49" s="61"/>
      <c r="S49" s="62"/>
      <c r="T49" s="63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155" t="s">
        <v>1</v>
      </c>
      <c r="AK49" s="165">
        <f>AF10/1000</f>
        <v>0.2574671</v>
      </c>
      <c r="AL49" s="155" t="s">
        <v>189</v>
      </c>
      <c r="AM49" s="62"/>
      <c r="AN49" s="62"/>
      <c r="AO49" s="62"/>
      <c r="AP49" s="64"/>
    </row>
    <row r="50" spans="2:42">
      <c r="B50" s="26"/>
      <c r="C50" s="26"/>
      <c r="D50" s="26"/>
      <c r="E50" s="26"/>
      <c r="F50" s="26"/>
      <c r="G50" s="28"/>
      <c r="H50" s="26"/>
      <c r="I50" s="26"/>
      <c r="J50" s="26"/>
      <c r="K50" s="28"/>
      <c r="L50" s="26"/>
      <c r="M50" s="26"/>
      <c r="N50" s="26"/>
      <c r="O50" s="28"/>
      <c r="P50" s="26"/>
      <c r="R50" s="26"/>
      <c r="S50" s="26"/>
      <c r="T50" s="28"/>
      <c r="U50" s="26"/>
      <c r="V50" s="26"/>
      <c r="W50" s="26"/>
      <c r="X50" s="9"/>
      <c r="AB50" s="9"/>
    </row>
    <row r="51" spans="2:42">
      <c r="B51" s="26"/>
      <c r="C51" s="26"/>
      <c r="D51" s="26"/>
      <c r="E51" s="26"/>
      <c r="F51" s="26"/>
      <c r="G51" s="28"/>
      <c r="H51" s="26"/>
      <c r="I51" s="26"/>
      <c r="J51" s="26"/>
      <c r="K51" s="28"/>
      <c r="L51" s="26"/>
      <c r="M51" s="26"/>
      <c r="N51" s="26"/>
      <c r="O51" s="28"/>
      <c r="P51" s="26"/>
      <c r="R51" s="26"/>
      <c r="S51" s="26"/>
      <c r="T51" s="28"/>
      <c r="U51" s="26"/>
      <c r="V51" s="26"/>
      <c r="W51" s="26"/>
      <c r="X51" s="9"/>
      <c r="AB51" s="9"/>
    </row>
    <row r="53" spans="2:42" ht="15.75" thickBot="1">
      <c r="B53" s="17" t="s">
        <v>190</v>
      </c>
    </row>
    <row r="54" spans="2:42">
      <c r="B54" s="23" t="s">
        <v>43</v>
      </c>
      <c r="C54" s="21"/>
      <c r="D54" s="19"/>
      <c r="E54" s="19"/>
      <c r="F54" s="19"/>
      <c r="G54" s="21"/>
      <c r="H54" s="19"/>
      <c r="I54" s="19"/>
      <c r="J54" s="19"/>
      <c r="K54" s="21"/>
      <c r="L54" s="19"/>
      <c r="M54" s="19"/>
      <c r="N54" s="19"/>
      <c r="O54" s="19"/>
      <c r="P54" s="21"/>
      <c r="Q54" s="19"/>
      <c r="R54" s="19"/>
      <c r="S54" s="19"/>
      <c r="T54" s="21"/>
      <c r="U54" s="19"/>
      <c r="V54" s="19"/>
      <c r="W54" s="19"/>
      <c r="X54" s="21"/>
      <c r="Y54" s="19"/>
      <c r="Z54" s="19"/>
      <c r="AA54" s="19"/>
      <c r="AB54" s="19"/>
      <c r="AC54" s="19"/>
      <c r="AD54" s="19"/>
      <c r="AE54" s="19"/>
      <c r="AF54" s="22"/>
      <c r="AH54" s="23" t="s">
        <v>819</v>
      </c>
      <c r="AI54" s="19"/>
      <c r="AJ54" s="19"/>
      <c r="AK54" s="19"/>
      <c r="AL54" s="19"/>
      <c r="AM54" s="19"/>
      <c r="AN54" s="22"/>
    </row>
    <row r="55" spans="2:42" ht="18">
      <c r="B55" s="30" t="s">
        <v>57</v>
      </c>
      <c r="C55" s="28"/>
      <c r="D55" s="26"/>
      <c r="E55" s="26"/>
      <c r="F55" s="26"/>
      <c r="G55" s="28"/>
      <c r="H55" s="27" t="s">
        <v>67</v>
      </c>
      <c r="I55" s="26"/>
      <c r="J55" s="26"/>
      <c r="K55" s="28"/>
      <c r="L55" s="26"/>
      <c r="M55" s="26"/>
      <c r="N55" s="26"/>
      <c r="O55" s="26"/>
      <c r="P55" s="28"/>
      <c r="Q55" s="26"/>
      <c r="R55" s="26"/>
      <c r="S55" s="26"/>
      <c r="T55" s="28"/>
      <c r="U55" s="26"/>
      <c r="V55" s="27" t="s">
        <v>73</v>
      </c>
      <c r="W55" s="26"/>
      <c r="X55" s="26"/>
      <c r="Y55" s="26"/>
      <c r="Z55" s="26"/>
      <c r="AA55" s="26"/>
      <c r="AB55" s="26"/>
      <c r="AC55" s="26"/>
      <c r="AD55" s="26"/>
      <c r="AE55" s="26"/>
      <c r="AF55" s="29"/>
      <c r="AH55" s="346" t="s">
        <v>765</v>
      </c>
      <c r="AI55" s="291"/>
      <c r="AJ55" s="347" t="s">
        <v>766</v>
      </c>
      <c r="AK55" s="348" t="s">
        <v>764</v>
      </c>
      <c r="AL55" s="26" t="s">
        <v>212</v>
      </c>
      <c r="AM55" s="26"/>
      <c r="AN55" s="29"/>
    </row>
    <row r="56" spans="2:42">
      <c r="B56" s="34"/>
      <c r="C56" s="28"/>
      <c r="D56" s="26"/>
      <c r="E56" s="26"/>
      <c r="F56" s="26"/>
      <c r="G56" s="28"/>
      <c r="H56" s="27" t="s">
        <v>58</v>
      </c>
      <c r="I56" s="26"/>
      <c r="J56" s="26"/>
      <c r="K56" s="28"/>
      <c r="L56" s="27" t="s">
        <v>63</v>
      </c>
      <c r="M56" s="26"/>
      <c r="N56" s="26"/>
      <c r="O56" s="26"/>
      <c r="P56" s="27" t="s">
        <v>68</v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9"/>
      <c r="AH56" s="339" t="s">
        <v>114</v>
      </c>
      <c r="AI56" s="79"/>
      <c r="AJ56" s="431">
        <f>W61+AM27</f>
        <v>19108.134388933333</v>
      </c>
      <c r="AK56" s="341" t="s">
        <v>113</v>
      </c>
      <c r="AL56" s="26"/>
      <c r="AM56" s="26"/>
      <c r="AN56" s="29"/>
    </row>
    <row r="57" spans="2:42">
      <c r="B57" s="82" t="s">
        <v>201</v>
      </c>
      <c r="C57" s="28"/>
      <c r="D57" s="3"/>
      <c r="E57" s="3"/>
      <c r="F57" s="3"/>
      <c r="G57" s="28"/>
      <c r="H57" s="26"/>
      <c r="I57" s="26"/>
      <c r="J57" s="26"/>
      <c r="K57" s="28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45" t="s">
        <v>74</v>
      </c>
      <c r="W57" s="44">
        <f>F23</f>
        <v>75</v>
      </c>
      <c r="X57" s="43" t="s">
        <v>11</v>
      </c>
      <c r="Y57" s="26"/>
      <c r="Z57" s="26"/>
      <c r="AA57" s="26"/>
      <c r="AB57" s="26"/>
      <c r="AC57" s="26"/>
      <c r="AD57" s="26"/>
      <c r="AE57" s="26"/>
      <c r="AF57" s="29"/>
      <c r="AH57" s="25" t="s">
        <v>115</v>
      </c>
      <c r="AI57" s="26"/>
      <c r="AJ57" s="422">
        <f>W60+AM26</f>
        <v>28662.201583399998</v>
      </c>
      <c r="AK57" s="342" t="s">
        <v>113</v>
      </c>
      <c r="AL57" s="26"/>
      <c r="AM57" s="26"/>
      <c r="AN57" s="29"/>
    </row>
    <row r="58" spans="2:42" ht="16.5">
      <c r="B58" s="82" t="s">
        <v>44</v>
      </c>
      <c r="C58" s="28">
        <f>G47</f>
        <v>109.90404770399999</v>
      </c>
      <c r="D58" s="36" t="s">
        <v>41</v>
      </c>
      <c r="E58" s="3"/>
      <c r="F58" s="3"/>
      <c r="G58" s="28"/>
      <c r="H58" s="3" t="s">
        <v>59</v>
      </c>
      <c r="I58" s="28">
        <v>37</v>
      </c>
      <c r="J58" s="3"/>
      <c r="K58" s="28"/>
      <c r="L58" s="3" t="s">
        <v>66</v>
      </c>
      <c r="M58" s="28">
        <v>1000</v>
      </c>
      <c r="N58" s="3" t="s">
        <v>64</v>
      </c>
      <c r="O58" s="26"/>
      <c r="P58" s="3" t="s">
        <v>72</v>
      </c>
      <c r="Q58" s="6">
        <f>C62*0.004</f>
        <v>15.200000000000001</v>
      </c>
      <c r="R58" s="2" t="s">
        <v>69</v>
      </c>
      <c r="S58" s="3" t="s">
        <v>70</v>
      </c>
      <c r="T58" s="26"/>
      <c r="U58" s="26"/>
      <c r="V58" s="26" t="s">
        <v>78</v>
      </c>
      <c r="W58" s="28">
        <v>350</v>
      </c>
      <c r="X58" s="36" t="s">
        <v>79</v>
      </c>
      <c r="Y58" s="26"/>
      <c r="Z58" s="26"/>
      <c r="AA58" s="26"/>
      <c r="AB58" s="26"/>
      <c r="AC58" s="26"/>
      <c r="AD58" s="26"/>
      <c r="AE58" s="26"/>
      <c r="AF58" s="29"/>
      <c r="AH58" s="25" t="s">
        <v>210</v>
      </c>
      <c r="AI58" s="26" t="s">
        <v>1</v>
      </c>
      <c r="AJ58" s="421">
        <f>(U92+AK49)*AL58</f>
        <v>730.2484700257977</v>
      </c>
      <c r="AK58" s="342" t="s">
        <v>113</v>
      </c>
      <c r="AL58" s="84">
        <f>717.51/AL63</f>
        <v>362.9286798179059</v>
      </c>
      <c r="AM58" s="3" t="s">
        <v>337</v>
      </c>
      <c r="AN58" s="29"/>
    </row>
    <row r="59" spans="2:42">
      <c r="B59" s="82" t="s">
        <v>45</v>
      </c>
      <c r="C59" s="28">
        <v>30</v>
      </c>
      <c r="D59" s="3" t="s">
        <v>46</v>
      </c>
      <c r="E59" s="3"/>
      <c r="F59" s="3"/>
      <c r="G59" s="28"/>
      <c r="H59" s="3" t="s">
        <v>60</v>
      </c>
      <c r="I59" s="28">
        <v>12.5</v>
      </c>
      <c r="J59" s="3"/>
      <c r="K59" s="28"/>
      <c r="L59" s="2" t="s">
        <v>71</v>
      </c>
      <c r="M59" s="6">
        <f>G47*M58</f>
        <v>109904.047704</v>
      </c>
      <c r="N59" s="2" t="s">
        <v>65</v>
      </c>
      <c r="O59" s="26"/>
      <c r="P59" s="26"/>
      <c r="Q59" s="6">
        <f>Q58*3.6</f>
        <v>54.720000000000006</v>
      </c>
      <c r="R59" s="35" t="s">
        <v>109</v>
      </c>
      <c r="S59" s="26"/>
      <c r="T59" s="26"/>
      <c r="U59" s="26"/>
      <c r="V59" s="45" t="s">
        <v>75</v>
      </c>
      <c r="W59" s="44">
        <f>F25</f>
        <v>60</v>
      </c>
      <c r="X59" s="43" t="s">
        <v>11</v>
      </c>
      <c r="Y59" s="26"/>
      <c r="Z59" s="26"/>
      <c r="AA59" s="26"/>
      <c r="AB59" s="26"/>
      <c r="AC59" s="26"/>
      <c r="AD59" s="26"/>
      <c r="AE59" s="26"/>
      <c r="AF59" s="29"/>
      <c r="AH59" s="25"/>
      <c r="AI59" s="26" t="s">
        <v>211</v>
      </c>
      <c r="AJ59" s="421">
        <f>(U91+AK42)*AL58</f>
        <v>25579.709109219722</v>
      </c>
      <c r="AK59" s="342" t="s">
        <v>113</v>
      </c>
      <c r="AL59" s="26"/>
      <c r="AM59" s="26"/>
      <c r="AN59" s="29"/>
    </row>
    <row r="60" spans="2:42" ht="15.75" thickBot="1">
      <c r="B60" s="82" t="s">
        <v>47</v>
      </c>
      <c r="C60" s="28">
        <f>C58*C59</f>
        <v>3297.1214311199997</v>
      </c>
      <c r="D60" s="3"/>
      <c r="E60" s="3"/>
      <c r="F60" s="3"/>
      <c r="G60" s="28"/>
      <c r="H60" s="3" t="s">
        <v>202</v>
      </c>
      <c r="I60" s="28">
        <f>I58-I59</f>
        <v>24.5</v>
      </c>
      <c r="J60" s="3"/>
      <c r="K60" s="28"/>
      <c r="L60" s="36"/>
      <c r="M60" s="6">
        <f>M59*0.004184</f>
        <v>459.83853559353599</v>
      </c>
      <c r="N60" s="2" t="s">
        <v>109</v>
      </c>
      <c r="O60" s="26"/>
      <c r="P60" s="47" t="s">
        <v>678</v>
      </c>
      <c r="Q60" s="44">
        <f>C21</f>
        <v>1.3</v>
      </c>
      <c r="R60" s="43"/>
      <c r="S60" s="26"/>
      <c r="T60" s="26"/>
      <c r="U60" s="26"/>
      <c r="V60" s="26" t="s">
        <v>76</v>
      </c>
      <c r="W60" s="28">
        <f>W58*J42</f>
        <v>20505.897125867999</v>
      </c>
      <c r="X60" s="36" t="s">
        <v>54</v>
      </c>
      <c r="Y60" s="26"/>
      <c r="Z60" s="26"/>
      <c r="AA60" s="26"/>
      <c r="AB60" s="26"/>
      <c r="AC60" s="26"/>
      <c r="AD60" s="26"/>
      <c r="AE60" s="26"/>
      <c r="AF60" s="29"/>
      <c r="AH60" s="343" t="s">
        <v>213</v>
      </c>
      <c r="AI60" s="81"/>
      <c r="AJ60" s="423">
        <f>(U87+AK45)*AL60</f>
        <v>16.487239254821553</v>
      </c>
      <c r="AK60" s="345" t="s">
        <v>113</v>
      </c>
      <c r="AL60" s="97">
        <f>0.5/AL63</f>
        <v>0.25290844714213456</v>
      </c>
      <c r="AM60" s="26" t="s">
        <v>214</v>
      </c>
      <c r="AN60" s="29"/>
    </row>
    <row r="61" spans="2:42" ht="15.75" thickBot="1">
      <c r="B61" s="82" t="s">
        <v>55</v>
      </c>
      <c r="C61" s="28">
        <f>C60*0.15+C60</f>
        <v>3791.6896457879998</v>
      </c>
      <c r="D61" s="36"/>
      <c r="E61" s="26"/>
      <c r="F61" s="3"/>
      <c r="G61" s="28"/>
      <c r="H61" s="2" t="s">
        <v>61</v>
      </c>
      <c r="I61" s="6">
        <f>I60*C65*0.034*24</f>
        <v>27422.33396387516</v>
      </c>
      <c r="J61" s="2" t="s">
        <v>62</v>
      </c>
      <c r="K61" s="28"/>
      <c r="L61" s="47" t="s">
        <v>678</v>
      </c>
      <c r="M61" s="44">
        <f>C21</f>
        <v>1.3</v>
      </c>
      <c r="N61" s="43"/>
      <c r="O61" s="26"/>
      <c r="P61" s="89" t="s">
        <v>197</v>
      </c>
      <c r="Q61" s="90">
        <f>Q60*Q59</f>
        <v>71.13600000000001</v>
      </c>
      <c r="R61" s="56" t="s">
        <v>109</v>
      </c>
      <c r="S61" s="26"/>
      <c r="T61" s="26"/>
      <c r="U61" s="26"/>
      <c r="V61" s="26" t="s">
        <v>77</v>
      </c>
      <c r="W61" s="28">
        <f>W60/(W59/100)*((100-W59)/100)</f>
        <v>13670.598083912</v>
      </c>
      <c r="X61" s="36" t="s">
        <v>54</v>
      </c>
      <c r="Y61" s="26"/>
      <c r="Z61" s="26"/>
      <c r="AA61" s="26"/>
      <c r="AB61" s="26"/>
      <c r="AC61" s="26"/>
      <c r="AD61" s="26"/>
      <c r="AE61" s="26"/>
      <c r="AF61" s="29"/>
      <c r="AH61" s="25"/>
      <c r="AI61" s="26"/>
      <c r="AJ61" s="26"/>
      <c r="AK61" s="26"/>
      <c r="AL61" s="26"/>
      <c r="AM61" s="26"/>
      <c r="AN61" s="29"/>
    </row>
    <row r="62" spans="2:42" ht="15.75" thickBot="1">
      <c r="B62" s="25" t="s">
        <v>56</v>
      </c>
      <c r="C62" s="28">
        <f>ROUNDUP(C61,-2)</f>
        <v>3800</v>
      </c>
      <c r="D62" s="3" t="s">
        <v>52</v>
      </c>
      <c r="E62" s="26"/>
      <c r="F62" s="26"/>
      <c r="G62" s="28"/>
      <c r="H62" s="3"/>
      <c r="I62" s="6">
        <f>I61*0.004184</f>
        <v>114.73504530485367</v>
      </c>
      <c r="J62" s="2" t="s">
        <v>109</v>
      </c>
      <c r="K62" s="28"/>
      <c r="L62" s="53" t="s">
        <v>206</v>
      </c>
      <c r="M62" s="54">
        <f>M61*M60</f>
        <v>597.79009627159678</v>
      </c>
      <c r="N62" s="55" t="s">
        <v>109</v>
      </c>
      <c r="O62" s="26"/>
      <c r="P62" s="26"/>
      <c r="Q62" s="26"/>
      <c r="R62" s="36"/>
      <c r="S62" s="26"/>
      <c r="T62" s="26"/>
      <c r="U62" s="26"/>
      <c r="V62" s="27" t="s">
        <v>120</v>
      </c>
      <c r="W62" s="6">
        <f>W60/(W59/100)</f>
        <v>34176.495209779998</v>
      </c>
      <c r="X62" s="35" t="s">
        <v>80</v>
      </c>
      <c r="Y62" s="26"/>
      <c r="Z62" s="26"/>
      <c r="AA62" s="26"/>
      <c r="AB62" s="26"/>
      <c r="AC62" s="26"/>
      <c r="AD62" s="26"/>
      <c r="AE62" s="26"/>
      <c r="AF62" s="29"/>
      <c r="AH62" s="25"/>
      <c r="AI62" s="26"/>
      <c r="AJ62" s="26"/>
      <c r="AK62" s="26"/>
      <c r="AL62" s="26"/>
      <c r="AM62" s="26"/>
      <c r="AN62" s="29"/>
    </row>
    <row r="63" spans="2:42" ht="17.25" thickBot="1">
      <c r="B63" s="82" t="s">
        <v>48</v>
      </c>
      <c r="C63" s="28">
        <f>2*(C62/3/PI())^(1/3)</f>
        <v>14.775226665015193</v>
      </c>
      <c r="D63" s="3" t="s">
        <v>49</v>
      </c>
      <c r="E63" s="3" t="s">
        <v>50</v>
      </c>
      <c r="F63" s="3" t="s">
        <v>203</v>
      </c>
      <c r="G63" s="28"/>
      <c r="H63" s="47" t="s">
        <v>678</v>
      </c>
      <c r="I63" s="44">
        <f>C21</f>
        <v>1.3</v>
      </c>
      <c r="J63" s="47"/>
      <c r="K63" s="28"/>
      <c r="L63" s="3"/>
      <c r="M63" s="28"/>
      <c r="N63" s="36"/>
      <c r="O63" s="26"/>
      <c r="P63" s="26"/>
      <c r="Q63" s="26"/>
      <c r="R63" s="26"/>
      <c r="S63" s="26"/>
      <c r="T63" s="26"/>
      <c r="U63" s="26"/>
      <c r="V63" s="26"/>
      <c r="W63" s="26"/>
      <c r="X63" s="36"/>
      <c r="Y63" s="26"/>
      <c r="Z63" s="26"/>
      <c r="AA63" s="26"/>
      <c r="AB63" s="26"/>
      <c r="AC63" s="26"/>
      <c r="AD63" s="26"/>
      <c r="AE63" s="26"/>
      <c r="AF63" s="29"/>
      <c r="AH63" s="98" t="s">
        <v>116</v>
      </c>
      <c r="AI63" s="99"/>
      <c r="AJ63" s="100">
        <f>SUM(AJ56:AJ60)</f>
        <v>74096.780790833684</v>
      </c>
      <c r="AK63" s="101" t="s">
        <v>113</v>
      </c>
      <c r="AL63" s="28">
        <v>1.9770000000000001</v>
      </c>
      <c r="AM63" s="36" t="s">
        <v>117</v>
      </c>
      <c r="AN63" s="29"/>
    </row>
    <row r="64" spans="2:42" ht="15.75" thickBot="1">
      <c r="B64" s="82" t="s">
        <v>51</v>
      </c>
      <c r="C64" s="28">
        <f>C63/2*3</f>
        <v>22.162839997522788</v>
      </c>
      <c r="D64" s="3" t="s">
        <v>49</v>
      </c>
      <c r="E64" s="26"/>
      <c r="F64" s="26"/>
      <c r="G64" s="28"/>
      <c r="H64" s="53" t="s">
        <v>196</v>
      </c>
      <c r="I64" s="54">
        <f>I63*I62</f>
        <v>149.15555889630977</v>
      </c>
      <c r="J64" s="55" t="s">
        <v>109</v>
      </c>
      <c r="K64" s="28"/>
      <c r="L64" s="36"/>
      <c r="M64" s="26"/>
      <c r="N64" s="36"/>
      <c r="O64" s="26"/>
      <c r="P64" s="26"/>
      <c r="Q64" s="26"/>
      <c r="R64" s="26"/>
      <c r="S64" s="26"/>
      <c r="T64" s="26"/>
      <c r="U64" s="26"/>
      <c r="V64" s="26"/>
      <c r="W64" s="26"/>
      <c r="X64" s="36"/>
      <c r="Y64" s="26"/>
      <c r="Z64" s="26"/>
      <c r="AA64" s="26"/>
      <c r="AB64" s="26"/>
      <c r="AC64" s="26"/>
      <c r="AD64" s="26"/>
      <c r="AE64" s="26"/>
      <c r="AF64" s="29"/>
      <c r="AH64" s="102" t="s">
        <v>215</v>
      </c>
      <c r="AI64" s="103"/>
      <c r="AJ64" s="104">
        <f>AJ63*AL63/1000</f>
        <v>146.48933562347818</v>
      </c>
      <c r="AK64" s="105" t="s">
        <v>118</v>
      </c>
      <c r="AL64" s="26"/>
      <c r="AM64" s="26"/>
      <c r="AN64" s="29"/>
    </row>
    <row r="65" spans="2:42" ht="15.75" thickBot="1">
      <c r="B65" s="298" t="s">
        <v>657</v>
      </c>
      <c r="C65" s="28">
        <f>(((C63/2)^2*PI())*2)+((PI()*C63)*C64)</f>
        <v>1371.6653643394936</v>
      </c>
      <c r="D65" s="3" t="s">
        <v>53</v>
      </c>
      <c r="E65" s="3"/>
      <c r="F65" s="3"/>
      <c r="G65" s="28"/>
      <c r="H65" s="36"/>
      <c r="I65" s="26"/>
      <c r="J65" s="36"/>
      <c r="K65" s="28"/>
      <c r="L65" s="3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9"/>
      <c r="AH65" s="106" t="s">
        <v>216</v>
      </c>
      <c r="AI65" s="107"/>
      <c r="AJ65" s="108">
        <f>SUM(AJ58:AJ60)*AL63/1000</f>
        <v>52.047381406175177</v>
      </c>
      <c r="AK65" s="109" t="s">
        <v>217</v>
      </c>
      <c r="AL65" s="26"/>
      <c r="AM65" s="26"/>
      <c r="AN65" s="29"/>
    </row>
    <row r="66" spans="2:42">
      <c r="B66" s="25"/>
      <c r="C66" s="28"/>
      <c r="D66" s="3"/>
      <c r="E66" s="26"/>
      <c r="F66" s="26"/>
      <c r="G66" s="28"/>
      <c r="H66" s="36"/>
      <c r="I66" s="26"/>
      <c r="J66" s="36"/>
      <c r="K66" s="28"/>
      <c r="L66" s="3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9"/>
      <c r="AH66" s="34"/>
      <c r="AI66" s="26"/>
      <c r="AJ66" s="26"/>
      <c r="AK66" s="26"/>
      <c r="AL66" s="26"/>
      <c r="AM66" s="26"/>
      <c r="AN66" s="29"/>
    </row>
    <row r="67" spans="2:42" ht="16.5">
      <c r="B67" s="82" t="s">
        <v>204</v>
      </c>
      <c r="C67" s="28">
        <f>(C63/2)^2*PI()*C64</f>
        <v>3799.9999999999995</v>
      </c>
      <c r="D67" s="3" t="s">
        <v>52</v>
      </c>
      <c r="E67" s="26"/>
      <c r="F67" s="26"/>
      <c r="G67" s="28"/>
      <c r="H67" s="36"/>
      <c r="I67" s="26"/>
      <c r="J67" s="36"/>
      <c r="K67" s="28"/>
      <c r="L67" s="3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9"/>
      <c r="AH67" s="34"/>
      <c r="AI67" s="26"/>
      <c r="AJ67" s="26"/>
      <c r="AK67" s="26"/>
      <c r="AL67" s="26"/>
      <c r="AM67" s="26"/>
      <c r="AN67" s="29"/>
    </row>
    <row r="68" spans="2:42">
      <c r="B68" s="25"/>
      <c r="C68" s="28"/>
      <c r="D68" s="36"/>
      <c r="E68" s="26"/>
      <c r="F68" s="26"/>
      <c r="G68" s="28"/>
      <c r="H68" s="36"/>
      <c r="I68" s="26"/>
      <c r="J68" s="36"/>
      <c r="K68" s="28"/>
      <c r="L68" s="3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9"/>
      <c r="AH68" s="34"/>
      <c r="AI68" s="26"/>
      <c r="AJ68" s="26"/>
      <c r="AK68" s="26"/>
      <c r="AL68" s="26"/>
      <c r="AM68" s="26"/>
      <c r="AN68" s="29"/>
    </row>
    <row r="69" spans="2:42">
      <c r="B69" s="25"/>
      <c r="C69" s="28"/>
      <c r="D69" s="36"/>
      <c r="E69" s="26"/>
      <c r="F69" s="26"/>
      <c r="G69" s="28"/>
      <c r="H69" s="35" t="s">
        <v>81</v>
      </c>
      <c r="I69" s="26"/>
      <c r="J69" s="36"/>
      <c r="K69" s="28"/>
      <c r="L69" s="36"/>
      <c r="M69" s="26"/>
      <c r="N69" s="26"/>
      <c r="O69" s="26"/>
      <c r="P69" s="27" t="s">
        <v>99</v>
      </c>
      <c r="Q69" s="26"/>
      <c r="R69" s="26"/>
      <c r="S69" s="26"/>
      <c r="T69" s="27" t="s">
        <v>119</v>
      </c>
      <c r="U69" s="26"/>
      <c r="V69" s="26"/>
      <c r="W69" s="26"/>
      <c r="X69" s="26"/>
      <c r="AE69" s="26"/>
      <c r="AF69" s="29"/>
      <c r="AH69" s="34"/>
      <c r="AI69" s="26"/>
      <c r="AJ69" s="26"/>
      <c r="AK69" s="26"/>
      <c r="AL69" s="26"/>
      <c r="AM69" s="26"/>
      <c r="AN69" s="29"/>
    </row>
    <row r="70" spans="2:42">
      <c r="B70" s="25"/>
      <c r="C70" s="28"/>
      <c r="D70" s="36"/>
      <c r="E70" s="26"/>
      <c r="F70" s="26"/>
      <c r="G70" s="28"/>
      <c r="H70" s="35" t="s">
        <v>82</v>
      </c>
      <c r="I70" s="26"/>
      <c r="J70" s="36"/>
      <c r="K70" s="28"/>
      <c r="L70" s="27" t="s">
        <v>85</v>
      </c>
      <c r="M70" s="26"/>
      <c r="N70" s="26"/>
      <c r="O70" s="26"/>
      <c r="P70" s="27" t="s">
        <v>112</v>
      </c>
      <c r="Q70" s="26"/>
      <c r="R70" s="26"/>
      <c r="S70" s="26"/>
      <c r="T70" s="27" t="s">
        <v>135</v>
      </c>
      <c r="U70" s="26"/>
      <c r="V70" s="26"/>
      <c r="W70" s="26"/>
      <c r="X70" s="26"/>
      <c r="AC70" s="27"/>
      <c r="AD70" s="26"/>
      <c r="AE70" s="26"/>
      <c r="AF70" s="29"/>
      <c r="AH70" s="34"/>
      <c r="AI70" s="26"/>
      <c r="AJ70" s="26"/>
      <c r="AK70" s="26"/>
      <c r="AL70" s="26"/>
      <c r="AM70" s="26"/>
      <c r="AN70" s="29"/>
    </row>
    <row r="71" spans="2:42">
      <c r="B71" s="25"/>
      <c r="C71" s="28"/>
      <c r="D71" s="36"/>
      <c r="E71" s="26"/>
      <c r="F71" s="26"/>
      <c r="G71" s="28"/>
      <c r="H71" s="36"/>
      <c r="I71" s="26"/>
      <c r="J71" s="36"/>
      <c r="K71" s="28"/>
      <c r="L71" s="35" t="s">
        <v>94</v>
      </c>
      <c r="M71" s="26"/>
      <c r="N71" s="26"/>
      <c r="O71" s="26"/>
      <c r="P71" s="36" t="s">
        <v>101</v>
      </c>
      <c r="Q71" s="28">
        <v>9500</v>
      </c>
      <c r="R71" s="36" t="s">
        <v>102</v>
      </c>
      <c r="S71" s="26"/>
      <c r="T71" s="36" t="s">
        <v>129</v>
      </c>
      <c r="U71" s="28">
        <f>C58</f>
        <v>109.90404770399999</v>
      </c>
      <c r="V71" s="36" t="s">
        <v>41</v>
      </c>
      <c r="W71" s="36"/>
      <c r="X71" s="26"/>
      <c r="AF71" s="29"/>
      <c r="AH71" s="34"/>
      <c r="AI71" s="26"/>
      <c r="AJ71" s="26"/>
      <c r="AK71" s="26"/>
      <c r="AL71" s="26"/>
      <c r="AM71" s="26"/>
      <c r="AN71" s="29"/>
      <c r="AP71" s="12"/>
    </row>
    <row r="72" spans="2:42">
      <c r="B72" s="25"/>
      <c r="C72" s="28"/>
      <c r="D72" s="36"/>
      <c r="E72" s="26"/>
      <c r="F72" s="26"/>
      <c r="G72" s="28"/>
      <c r="H72" s="36" t="s">
        <v>83</v>
      </c>
      <c r="I72" s="26"/>
      <c r="J72" s="36"/>
      <c r="K72" s="28"/>
      <c r="L72" s="36" t="s">
        <v>88</v>
      </c>
      <c r="M72" s="32">
        <f>W62/24</f>
        <v>1424.0206337408333</v>
      </c>
      <c r="N72" s="3" t="s">
        <v>87</v>
      </c>
      <c r="O72" s="26"/>
      <c r="P72" s="36" t="s">
        <v>100</v>
      </c>
      <c r="Q72" s="28">
        <f>W60*Q71</f>
        <v>194806022.695746</v>
      </c>
      <c r="R72" s="36" t="s">
        <v>103</v>
      </c>
      <c r="S72" s="26"/>
      <c r="T72" s="36" t="s">
        <v>125</v>
      </c>
      <c r="U72" s="28">
        <f>C16*C58</f>
        <v>30.223613118599999</v>
      </c>
      <c r="V72" s="36" t="s">
        <v>123</v>
      </c>
      <c r="W72" s="36"/>
      <c r="X72" s="26"/>
      <c r="AF72" s="29"/>
      <c r="AH72" s="34"/>
      <c r="AI72" s="26"/>
      <c r="AJ72" s="26"/>
      <c r="AK72" s="26"/>
      <c r="AL72" s="26"/>
      <c r="AM72" s="26"/>
      <c r="AN72" s="29"/>
    </row>
    <row r="73" spans="2:42">
      <c r="B73" s="25"/>
      <c r="C73" s="28"/>
      <c r="D73" s="36"/>
      <c r="E73" s="26"/>
      <c r="F73" s="26"/>
      <c r="G73" s="28"/>
      <c r="H73" s="36" t="s">
        <v>84</v>
      </c>
      <c r="I73" s="26"/>
      <c r="J73" s="36"/>
      <c r="K73" s="28"/>
      <c r="L73" s="36"/>
      <c r="M73" s="28">
        <v>3.2934131736526949E-2</v>
      </c>
      <c r="N73" s="36" t="s">
        <v>89</v>
      </c>
      <c r="O73" s="26"/>
      <c r="P73" s="36"/>
      <c r="Q73" s="6">
        <f>Q72*0.004184</f>
        <v>815068.39895900129</v>
      </c>
      <c r="R73" s="36" t="s">
        <v>109</v>
      </c>
      <c r="S73" s="26"/>
      <c r="T73" s="36" t="s">
        <v>126</v>
      </c>
      <c r="U73" s="28">
        <f>C17*C58</f>
        <v>26.596779544367998</v>
      </c>
      <c r="V73" s="36" t="s">
        <v>124</v>
      </c>
      <c r="W73" s="36"/>
      <c r="X73" s="26"/>
      <c r="AF73" s="29"/>
      <c r="AH73" s="34"/>
      <c r="AI73" s="26"/>
      <c r="AJ73" s="26"/>
      <c r="AK73" s="26"/>
      <c r="AL73" s="26"/>
      <c r="AM73" s="26"/>
      <c r="AN73" s="29"/>
    </row>
    <row r="74" spans="2:42">
      <c r="B74" s="25"/>
      <c r="C74" s="28"/>
      <c r="D74" s="36"/>
      <c r="E74" s="26"/>
      <c r="F74" s="26"/>
      <c r="G74" s="28"/>
      <c r="H74" s="36">
        <v>32.26</v>
      </c>
      <c r="I74" s="26" t="s">
        <v>251</v>
      </c>
      <c r="J74" s="36"/>
      <c r="K74" s="28"/>
      <c r="L74" s="36" t="s">
        <v>91</v>
      </c>
      <c r="M74" s="28">
        <v>2.9</v>
      </c>
      <c r="N74" s="36" t="s">
        <v>92</v>
      </c>
      <c r="O74" s="26"/>
      <c r="P74" s="36"/>
      <c r="Q74" s="26"/>
      <c r="R74" s="36"/>
      <c r="S74" s="26"/>
      <c r="T74" s="35" t="s">
        <v>131</v>
      </c>
      <c r="U74" s="363">
        <f>(U72-U73)+((U73*(1-(W57/100))))</f>
        <v>10.276028460324001</v>
      </c>
      <c r="V74" s="35" t="s">
        <v>128</v>
      </c>
      <c r="W74" s="36" t="s">
        <v>127</v>
      </c>
      <c r="X74" s="26"/>
      <c r="AF74" s="29"/>
      <c r="AH74" s="34"/>
      <c r="AI74" s="26"/>
      <c r="AJ74" s="26"/>
      <c r="AK74" s="26"/>
      <c r="AL74" s="26"/>
      <c r="AM74" s="26"/>
      <c r="AN74" s="29"/>
    </row>
    <row r="75" spans="2:42">
      <c r="B75" s="25"/>
      <c r="C75" s="28"/>
      <c r="D75" s="36"/>
      <c r="E75" s="26"/>
      <c r="F75" s="26"/>
      <c r="G75" s="28"/>
      <c r="H75" s="112">
        <f>H74*W62/1000/1000</f>
        <v>1.1025337354675024</v>
      </c>
      <c r="I75" s="26" t="s">
        <v>41</v>
      </c>
      <c r="J75" s="36"/>
      <c r="K75" s="28"/>
      <c r="L75" s="38" t="s">
        <v>209</v>
      </c>
      <c r="M75" s="39">
        <f>M72*M73/M74</f>
        <v>16.172028671432138</v>
      </c>
      <c r="N75" s="38" t="s">
        <v>90</v>
      </c>
      <c r="O75" s="26" t="s">
        <v>93</v>
      </c>
      <c r="P75" s="43" t="s">
        <v>107</v>
      </c>
      <c r="Q75" s="44">
        <f>I21</f>
        <v>30</v>
      </c>
      <c r="R75" s="43" t="s">
        <v>12</v>
      </c>
      <c r="S75" s="26"/>
      <c r="T75" s="36" t="s">
        <v>130</v>
      </c>
      <c r="U75" s="28">
        <v>85</v>
      </c>
      <c r="V75" s="36" t="s">
        <v>12</v>
      </c>
      <c r="W75" s="36"/>
      <c r="X75" s="26"/>
      <c r="AF75" s="29"/>
      <c r="AH75" s="34"/>
      <c r="AI75" s="26"/>
      <c r="AJ75" s="26"/>
      <c r="AK75" s="26"/>
      <c r="AL75" s="26"/>
      <c r="AM75" s="26"/>
      <c r="AN75" s="29"/>
    </row>
    <row r="76" spans="2:42" ht="16.5">
      <c r="B76" s="25"/>
      <c r="C76" s="28"/>
      <c r="D76" s="36"/>
      <c r="E76" s="26"/>
      <c r="F76" s="26"/>
      <c r="G76" s="28"/>
      <c r="H76" s="36"/>
      <c r="I76" s="26"/>
      <c r="J76" s="36"/>
      <c r="K76" s="28"/>
      <c r="L76" s="95"/>
      <c r="M76" s="39">
        <f>M75/180*1000</f>
        <v>89.844603730178534</v>
      </c>
      <c r="N76" s="38" t="s">
        <v>20</v>
      </c>
      <c r="O76" s="26"/>
      <c r="P76" s="43" t="s">
        <v>108</v>
      </c>
      <c r="Q76" s="44">
        <f>I22</f>
        <v>50</v>
      </c>
      <c r="R76" s="43" t="s">
        <v>12</v>
      </c>
      <c r="S76" s="26"/>
      <c r="T76" s="308" t="s">
        <v>685</v>
      </c>
      <c r="U76" s="236">
        <f>200/10000</f>
        <v>0.02</v>
      </c>
      <c r="V76" s="38" t="s">
        <v>608</v>
      </c>
      <c r="W76" s="36" t="s">
        <v>605</v>
      </c>
      <c r="X76" s="223"/>
      <c r="AE76" s="26"/>
      <c r="AF76" s="29"/>
      <c r="AH76" s="34"/>
      <c r="AI76" s="26"/>
      <c r="AJ76" s="26"/>
      <c r="AK76" s="26"/>
      <c r="AL76" s="26"/>
      <c r="AM76" s="26"/>
      <c r="AN76" s="29"/>
    </row>
    <row r="77" spans="2:42" ht="15.75" thickBot="1">
      <c r="B77" s="25"/>
      <c r="C77" s="28"/>
      <c r="D77" s="36"/>
      <c r="E77" s="26"/>
      <c r="F77" s="26"/>
      <c r="G77" s="28"/>
      <c r="H77" s="36"/>
      <c r="I77" s="26"/>
      <c r="J77" s="36"/>
      <c r="K77" s="28"/>
      <c r="L77" s="3"/>
      <c r="M77" s="85"/>
      <c r="N77" s="3"/>
      <c r="O77" s="26"/>
      <c r="P77" s="49" t="s">
        <v>106</v>
      </c>
      <c r="Q77" s="32">
        <f>Q72*Q75/100</f>
        <v>58441806.8087238</v>
      </c>
      <c r="R77" s="49" t="s">
        <v>103</v>
      </c>
      <c r="S77" s="26"/>
      <c r="T77" s="38"/>
      <c r="U77" s="236">
        <f>U71*U76/100</f>
        <v>2.1980809540799999E-2</v>
      </c>
      <c r="V77" s="38" t="s">
        <v>41</v>
      </c>
      <c r="W77" s="36"/>
      <c r="X77" s="26"/>
      <c r="AD77" s="234"/>
      <c r="AE77" s="235"/>
      <c r="AF77" s="29"/>
      <c r="AH77" s="34"/>
      <c r="AI77" s="26"/>
      <c r="AJ77" s="26"/>
      <c r="AK77" s="26"/>
      <c r="AL77" s="26"/>
      <c r="AM77" s="26"/>
      <c r="AN77" s="29"/>
    </row>
    <row r="78" spans="2:42" ht="15.75" thickBot="1">
      <c r="B78" s="25"/>
      <c r="C78" s="28"/>
      <c r="D78" s="36"/>
      <c r="E78" s="26"/>
      <c r="F78" s="26"/>
      <c r="G78" s="28"/>
      <c r="H78" s="36"/>
      <c r="I78" s="26"/>
      <c r="J78" s="36"/>
      <c r="K78" s="28"/>
      <c r="L78" s="3"/>
      <c r="M78" s="85"/>
      <c r="N78" s="3"/>
      <c r="O78" s="26"/>
      <c r="P78" s="50" t="s">
        <v>208</v>
      </c>
      <c r="Q78" s="51">
        <f>Q77*0.004184</f>
        <v>244520.51968770041</v>
      </c>
      <c r="R78" s="58" t="s">
        <v>109</v>
      </c>
      <c r="S78" s="26"/>
      <c r="T78" s="48" t="s">
        <v>611</v>
      </c>
      <c r="U78" s="9">
        <f>U77/2*1000</f>
        <v>10.9904047704</v>
      </c>
      <c r="V78" s="9" t="s">
        <v>613</v>
      </c>
      <c r="W78" s="12" t="s">
        <v>603</v>
      </c>
      <c r="X78" s="111"/>
      <c r="AE78" s="26"/>
      <c r="AF78" s="29"/>
      <c r="AH78" s="34"/>
      <c r="AI78" s="26"/>
      <c r="AJ78" s="26"/>
      <c r="AK78" s="26"/>
      <c r="AL78" s="26"/>
      <c r="AM78" s="26"/>
      <c r="AN78" s="29"/>
    </row>
    <row r="79" spans="2:42" ht="15.75" thickBot="1">
      <c r="B79" s="25"/>
      <c r="C79" s="28"/>
      <c r="D79" s="36"/>
      <c r="E79" s="26"/>
      <c r="F79" s="26"/>
      <c r="G79" s="28"/>
      <c r="H79" s="36"/>
      <c r="I79" s="26"/>
      <c r="J79" s="36"/>
      <c r="K79" s="28"/>
      <c r="L79" s="35" t="s">
        <v>86</v>
      </c>
      <c r="M79" s="86"/>
      <c r="N79" s="36"/>
      <c r="O79" s="26"/>
      <c r="P79" s="49" t="s">
        <v>105</v>
      </c>
      <c r="Q79" s="32">
        <f>Q72*Q76/100</f>
        <v>97403011.347873002</v>
      </c>
      <c r="R79" s="49" t="s">
        <v>103</v>
      </c>
      <c r="S79" s="26"/>
      <c r="T79" s="48" t="s">
        <v>612</v>
      </c>
      <c r="U79" s="9">
        <f>U77/2*1000</f>
        <v>10.9904047704</v>
      </c>
      <c r="V79" s="9" t="s">
        <v>613</v>
      </c>
      <c r="W79" s="12" t="s">
        <v>604</v>
      </c>
      <c r="X79" s="26"/>
      <c r="AE79" s="26"/>
      <c r="AF79" s="29"/>
      <c r="AH79" s="34"/>
      <c r="AI79" s="26"/>
      <c r="AJ79" s="26"/>
      <c r="AK79" s="26"/>
      <c r="AL79" s="26"/>
      <c r="AM79" s="26"/>
      <c r="AN79" s="29"/>
    </row>
    <row r="80" spans="2:42" ht="15.75" thickBot="1">
      <c r="B80" s="25"/>
      <c r="C80" s="28"/>
      <c r="D80" s="36"/>
      <c r="E80" s="26"/>
      <c r="F80" s="26"/>
      <c r="G80" s="28"/>
      <c r="H80" s="36"/>
      <c r="I80" s="26"/>
      <c r="J80" s="36"/>
      <c r="K80" s="28"/>
      <c r="L80" s="36"/>
      <c r="M80" s="86"/>
      <c r="N80" s="36"/>
      <c r="O80" s="26"/>
      <c r="P80" s="53" t="s">
        <v>207</v>
      </c>
      <c r="Q80" s="54">
        <f>Q79*0.004184</f>
        <v>407534.19947950065</v>
      </c>
      <c r="R80" s="94" t="s">
        <v>109</v>
      </c>
      <c r="S80" s="26"/>
      <c r="T80" s="48" t="s">
        <v>614</v>
      </c>
      <c r="U80" s="238">
        <f>U78*4/9</f>
        <v>4.8846243423999995</v>
      </c>
      <c r="V80" s="9" t="s">
        <v>613</v>
      </c>
      <c r="W80" s="36"/>
      <c r="X80" s="26"/>
      <c r="AE80" s="26"/>
      <c r="AF80" s="29"/>
      <c r="AH80" s="34"/>
      <c r="AI80" s="26"/>
      <c r="AJ80" s="26"/>
      <c r="AK80" s="26"/>
      <c r="AL80" s="26"/>
      <c r="AM80" s="26"/>
      <c r="AN80" s="29"/>
    </row>
    <row r="81" spans="2:40">
      <c r="B81" s="25"/>
      <c r="C81" s="28"/>
      <c r="D81" s="36"/>
      <c r="E81" s="26"/>
      <c r="F81" s="26"/>
      <c r="G81" s="28"/>
      <c r="H81" s="36"/>
      <c r="I81" s="26"/>
      <c r="J81" s="36"/>
      <c r="K81" s="28"/>
      <c r="L81" s="43" t="s">
        <v>95</v>
      </c>
      <c r="M81" s="400">
        <v>60</v>
      </c>
      <c r="N81" s="43" t="s">
        <v>12</v>
      </c>
      <c r="O81" s="26"/>
      <c r="P81" s="36"/>
      <c r="Q81" s="28"/>
      <c r="R81" s="36"/>
      <c r="S81" s="26"/>
      <c r="T81" s="48" t="s">
        <v>615</v>
      </c>
      <c r="U81" s="238">
        <f>U79/3</f>
        <v>3.6634682567999999</v>
      </c>
      <c r="V81" s="9" t="s">
        <v>613</v>
      </c>
      <c r="W81" s="36"/>
      <c r="X81" s="26"/>
      <c r="AE81" s="26"/>
      <c r="AF81" s="29"/>
      <c r="AH81" s="34"/>
      <c r="AI81" s="26"/>
      <c r="AJ81" s="26"/>
      <c r="AK81" s="26"/>
      <c r="AL81" s="26"/>
      <c r="AM81" s="26"/>
      <c r="AN81" s="29"/>
    </row>
    <row r="82" spans="2:40">
      <c r="B82" s="25"/>
      <c r="C82" s="28"/>
      <c r="D82" s="36"/>
      <c r="E82" s="26"/>
      <c r="F82" s="26"/>
      <c r="G82" s="28"/>
      <c r="H82" s="36"/>
      <c r="I82" s="26"/>
      <c r="J82" s="26"/>
      <c r="K82" s="28"/>
      <c r="L82" s="36" t="s">
        <v>729</v>
      </c>
      <c r="M82" s="28">
        <v>24516.6</v>
      </c>
      <c r="N82" s="36" t="s">
        <v>96</v>
      </c>
      <c r="O82" s="26"/>
      <c r="P82" s="91" t="s">
        <v>111</v>
      </c>
      <c r="Q82" s="87">
        <f>Q73-Q78-Q80</f>
        <v>163013.67979180021</v>
      </c>
      <c r="R82" s="93" t="s">
        <v>109</v>
      </c>
      <c r="S82" s="26"/>
      <c r="W82" s="36"/>
      <c r="X82" s="26"/>
      <c r="AE82" s="26"/>
      <c r="AF82" s="29"/>
      <c r="AH82" s="34"/>
      <c r="AI82" s="26"/>
      <c r="AJ82" s="26"/>
      <c r="AK82" s="26"/>
      <c r="AL82" s="26"/>
      <c r="AM82" s="26"/>
      <c r="AN82" s="29"/>
    </row>
    <row r="83" spans="2:40" ht="15.75" thickBot="1">
      <c r="B83" s="25"/>
      <c r="C83" s="28"/>
      <c r="D83" s="36"/>
      <c r="E83" s="26"/>
      <c r="F83" s="26"/>
      <c r="G83" s="28"/>
      <c r="H83" s="36"/>
      <c r="I83" s="26"/>
      <c r="J83" s="26"/>
      <c r="K83" s="28"/>
      <c r="L83" s="36"/>
      <c r="M83" s="28">
        <f>M72/(M81/100)*M82/3600/1000</f>
        <v>16.163029754245606</v>
      </c>
      <c r="N83" s="36" t="s">
        <v>97</v>
      </c>
      <c r="O83" s="26"/>
      <c r="P83" s="36"/>
      <c r="Q83" s="26"/>
      <c r="R83" s="36"/>
      <c r="S83" s="26"/>
      <c r="T83" s="92" t="s">
        <v>132</v>
      </c>
      <c r="U83" s="83">
        <f>U74/((100-U75)/100)+U77</f>
        <v>68.528837211700818</v>
      </c>
      <c r="V83" s="92" t="s">
        <v>133</v>
      </c>
      <c r="W83" s="364" t="s">
        <v>806</v>
      </c>
      <c r="X83" s="26"/>
      <c r="AE83" s="26"/>
      <c r="AF83" s="29"/>
      <c r="AH83" s="34"/>
      <c r="AI83" s="26"/>
      <c r="AJ83" s="26"/>
      <c r="AK83" s="26"/>
      <c r="AL83" s="26"/>
      <c r="AM83" s="26"/>
      <c r="AN83" s="29"/>
    </row>
    <row r="84" spans="2:40" ht="15.75" thickBot="1">
      <c r="B84" s="25"/>
      <c r="C84" s="28"/>
      <c r="D84" s="36"/>
      <c r="E84" s="26"/>
      <c r="F84" s="26"/>
      <c r="G84" s="28"/>
      <c r="H84" s="36"/>
      <c r="I84" s="26"/>
      <c r="J84" s="26"/>
      <c r="K84" s="28"/>
      <c r="L84" s="49"/>
      <c r="M84" s="32">
        <v>6915.9056346976176</v>
      </c>
      <c r="N84" s="49" t="s">
        <v>98</v>
      </c>
      <c r="O84" s="26"/>
      <c r="P84" s="36"/>
      <c r="Q84" s="26"/>
      <c r="R84" s="36"/>
      <c r="S84" s="26"/>
      <c r="T84" s="50" t="s">
        <v>250</v>
      </c>
      <c r="U84" s="51">
        <f>7.6*(U74+U77)*3.6*2</f>
        <v>563.50706724700183</v>
      </c>
      <c r="V84" s="58" t="s">
        <v>110</v>
      </c>
      <c r="W84" s="364" t="s">
        <v>808</v>
      </c>
      <c r="X84" s="26"/>
      <c r="AE84" s="26"/>
      <c r="AF84" s="29"/>
      <c r="AH84" s="34"/>
      <c r="AI84" s="26"/>
      <c r="AJ84" s="26"/>
      <c r="AK84" s="26"/>
      <c r="AL84" s="26"/>
      <c r="AM84" s="26"/>
      <c r="AN84" s="29"/>
    </row>
    <row r="85" spans="2:40" ht="17.25" thickBot="1">
      <c r="B85" s="25"/>
      <c r="C85" s="28"/>
      <c r="D85" s="36"/>
      <c r="E85" s="26"/>
      <c r="F85" s="26"/>
      <c r="G85" s="28"/>
      <c r="H85" s="36"/>
      <c r="I85" s="26"/>
      <c r="J85" s="26"/>
      <c r="K85" s="28"/>
      <c r="L85" s="50" t="s">
        <v>150</v>
      </c>
      <c r="M85" s="51">
        <f>M84*0.004184*24</f>
        <v>694.46758021379605</v>
      </c>
      <c r="N85" s="58" t="s">
        <v>109</v>
      </c>
      <c r="O85" s="26"/>
      <c r="P85" s="36"/>
      <c r="Q85" s="26"/>
      <c r="R85" s="36"/>
      <c r="S85" s="26"/>
      <c r="W85" s="365" t="s">
        <v>807</v>
      </c>
      <c r="X85" s="26"/>
      <c r="AE85" s="26"/>
      <c r="AF85" s="29"/>
      <c r="AH85" s="34"/>
      <c r="AI85" s="26"/>
      <c r="AJ85" s="26"/>
      <c r="AK85" s="26"/>
      <c r="AL85" s="26"/>
      <c r="AM85" s="26"/>
      <c r="AN85" s="29"/>
    </row>
    <row r="86" spans="2:40" ht="16.5">
      <c r="B86" s="25"/>
      <c r="C86" s="28"/>
      <c r="D86" s="36"/>
      <c r="E86" s="26"/>
      <c r="F86" s="26"/>
      <c r="G86" s="28"/>
      <c r="H86" s="36"/>
      <c r="I86" s="26"/>
      <c r="J86" s="26"/>
      <c r="K86" s="28"/>
      <c r="L86" s="36"/>
      <c r="M86" s="28"/>
      <c r="N86" s="36"/>
      <c r="O86" s="26"/>
      <c r="P86" s="36"/>
      <c r="Q86" s="26"/>
      <c r="R86" s="36"/>
      <c r="S86" s="26"/>
      <c r="T86" s="35" t="s">
        <v>136</v>
      </c>
      <c r="U86" s="26"/>
      <c r="V86" s="36"/>
      <c r="W86" s="223" t="s">
        <v>809</v>
      </c>
      <c r="X86" s="26"/>
      <c r="AE86" s="26"/>
      <c r="AF86" s="29"/>
      <c r="AH86" s="34"/>
      <c r="AI86" s="26"/>
      <c r="AJ86" s="26"/>
      <c r="AK86" s="26"/>
      <c r="AL86" s="26"/>
      <c r="AM86" s="26"/>
      <c r="AN86" s="29"/>
    </row>
    <row r="87" spans="2:40">
      <c r="B87" s="25"/>
      <c r="C87" s="28"/>
      <c r="D87" s="36"/>
      <c r="E87" s="26"/>
      <c r="F87" s="26"/>
      <c r="G87" s="28"/>
      <c r="H87" s="36"/>
      <c r="I87" s="26"/>
      <c r="J87" s="26"/>
      <c r="K87" s="28"/>
      <c r="L87" s="36"/>
      <c r="M87" s="36"/>
      <c r="N87" s="26"/>
      <c r="O87" s="36"/>
      <c r="P87" s="36"/>
      <c r="Q87" s="26"/>
      <c r="R87" s="36"/>
      <c r="S87" s="26"/>
      <c r="T87" s="92" t="s">
        <v>134</v>
      </c>
      <c r="U87" s="83">
        <f>U71-U83</f>
        <v>41.375210492299175</v>
      </c>
      <c r="V87" s="92" t="s">
        <v>41</v>
      </c>
      <c r="W87" s="36"/>
      <c r="X87" s="26"/>
      <c r="AE87" s="26"/>
      <c r="AF87" s="29"/>
      <c r="AH87" s="34"/>
      <c r="AI87" s="26"/>
      <c r="AJ87" s="26"/>
      <c r="AK87" s="26"/>
      <c r="AL87" s="26"/>
      <c r="AM87" s="26"/>
      <c r="AN87" s="29"/>
    </row>
    <row r="88" spans="2:40">
      <c r="B88" s="25"/>
      <c r="C88" s="28"/>
      <c r="D88" s="36"/>
      <c r="E88" s="26"/>
      <c r="F88" s="26"/>
      <c r="G88" s="28"/>
      <c r="H88" s="36"/>
      <c r="I88" s="26"/>
      <c r="J88" s="26"/>
      <c r="K88" s="28"/>
      <c r="L88" s="36"/>
      <c r="M88" s="36"/>
      <c r="N88" s="26"/>
      <c r="O88" s="36"/>
      <c r="P88" s="36"/>
      <c r="Q88" s="26"/>
      <c r="R88" s="36"/>
      <c r="S88" s="26"/>
      <c r="T88" s="36"/>
      <c r="U88" s="26"/>
      <c r="V88" s="36"/>
      <c r="W88" s="36"/>
      <c r="X88" s="26"/>
      <c r="AE88" s="26"/>
      <c r="AF88" s="29"/>
      <c r="AH88" s="34"/>
      <c r="AI88" s="26"/>
      <c r="AJ88" s="26"/>
      <c r="AK88" s="26"/>
      <c r="AL88" s="26"/>
      <c r="AM88" s="26"/>
      <c r="AN88" s="29"/>
    </row>
    <row r="89" spans="2:40">
      <c r="B89" s="25"/>
      <c r="C89" s="28"/>
      <c r="D89" s="36"/>
      <c r="E89" s="26"/>
      <c r="F89" s="26"/>
      <c r="G89" s="28"/>
      <c r="H89" s="36"/>
      <c r="I89" s="26"/>
      <c r="J89" s="26"/>
      <c r="K89" s="28"/>
      <c r="L89" s="36"/>
      <c r="M89" s="36"/>
      <c r="N89" s="26"/>
      <c r="O89" s="36"/>
      <c r="P89" s="36"/>
      <c r="Q89" s="26"/>
      <c r="R89" s="36"/>
      <c r="S89" s="26"/>
      <c r="T89" s="36"/>
      <c r="U89" s="26"/>
      <c r="V89" s="36"/>
      <c r="W89" s="36"/>
      <c r="X89" s="26"/>
      <c r="AE89" s="26"/>
      <c r="AF89" s="29"/>
      <c r="AH89" s="34"/>
      <c r="AI89" s="26"/>
      <c r="AJ89" s="26"/>
      <c r="AK89" s="26"/>
      <c r="AL89" s="26"/>
      <c r="AM89" s="26"/>
      <c r="AN89" s="29"/>
    </row>
    <row r="90" spans="2:40">
      <c r="B90" s="25"/>
      <c r="C90" s="28"/>
      <c r="D90" s="36"/>
      <c r="E90" s="26"/>
      <c r="F90" s="26"/>
      <c r="G90" s="28"/>
      <c r="H90" s="36"/>
      <c r="I90" s="26"/>
      <c r="J90" s="26"/>
      <c r="K90" s="28"/>
      <c r="L90" s="36"/>
      <c r="M90" s="36"/>
      <c r="N90" s="26"/>
      <c r="O90" s="36"/>
      <c r="P90" s="36"/>
      <c r="Q90" s="26"/>
      <c r="R90" s="36"/>
      <c r="S90" s="26"/>
      <c r="T90" s="35" t="s">
        <v>730</v>
      </c>
      <c r="U90" s="26"/>
      <c r="V90" s="36"/>
      <c r="W90" s="36"/>
      <c r="X90" s="26"/>
      <c r="AE90" s="26"/>
      <c r="AF90" s="29"/>
      <c r="AH90" s="34"/>
      <c r="AI90" s="26"/>
      <c r="AJ90" s="26"/>
      <c r="AK90" s="26"/>
      <c r="AL90" s="26"/>
      <c r="AM90" s="26"/>
      <c r="AN90" s="29"/>
    </row>
    <row r="91" spans="2:40">
      <c r="B91" s="25"/>
      <c r="C91" s="28"/>
      <c r="D91" s="26"/>
      <c r="E91" s="26"/>
      <c r="F91" s="26"/>
      <c r="G91" s="28"/>
      <c r="H91" s="36"/>
      <c r="I91" s="26"/>
      <c r="J91" s="26"/>
      <c r="K91" s="28"/>
      <c r="L91" s="36"/>
      <c r="M91" s="36"/>
      <c r="N91" s="26"/>
      <c r="O91" s="36"/>
      <c r="P91" s="36"/>
      <c r="Q91" s="26"/>
      <c r="R91" s="36"/>
      <c r="S91" s="26"/>
      <c r="T91" s="35" t="s">
        <v>132</v>
      </c>
      <c r="U91" s="6">
        <f>U83</f>
        <v>68.528837211700818</v>
      </c>
      <c r="V91" s="35" t="s">
        <v>133</v>
      </c>
      <c r="W91" s="36"/>
      <c r="X91" s="26"/>
      <c r="AE91" s="26"/>
      <c r="AF91" s="29"/>
      <c r="AH91" s="34"/>
      <c r="AI91" s="26"/>
      <c r="AJ91" s="26"/>
      <c r="AK91" s="26"/>
      <c r="AL91" s="26"/>
      <c r="AM91" s="26"/>
      <c r="AN91" s="29"/>
    </row>
    <row r="92" spans="2:40">
      <c r="B92" s="25"/>
      <c r="C92" s="28"/>
      <c r="D92" s="26"/>
      <c r="E92" s="26"/>
      <c r="F92" s="26"/>
      <c r="G92" s="28"/>
      <c r="H92" s="36"/>
      <c r="I92" s="26"/>
      <c r="J92" s="26"/>
      <c r="K92" s="28"/>
      <c r="L92" s="36"/>
      <c r="M92" s="36"/>
      <c r="N92" s="26"/>
      <c r="O92" s="36"/>
      <c r="P92" s="36"/>
      <c r="Q92" s="26"/>
      <c r="R92" s="36"/>
      <c r="S92" s="26"/>
      <c r="T92" s="35" t="s">
        <v>1</v>
      </c>
      <c r="U92" s="27">
        <f>G39/1000</f>
        <v>1.7546320000000029</v>
      </c>
      <c r="V92" s="35" t="s">
        <v>189</v>
      </c>
      <c r="W92" s="36"/>
      <c r="X92" s="26"/>
      <c r="AE92" s="26"/>
      <c r="AF92" s="29"/>
      <c r="AH92" s="34"/>
      <c r="AI92" s="26"/>
      <c r="AJ92" s="26"/>
      <c r="AK92" s="26"/>
      <c r="AL92" s="26"/>
      <c r="AM92" s="26"/>
      <c r="AN92" s="29"/>
    </row>
    <row r="93" spans="2:40">
      <c r="B93" s="25"/>
      <c r="C93" s="28"/>
      <c r="D93" s="26"/>
      <c r="E93" s="26"/>
      <c r="F93" s="26"/>
      <c r="G93" s="28"/>
      <c r="H93" s="36"/>
      <c r="I93" s="26"/>
      <c r="J93" s="26"/>
      <c r="K93" s="28"/>
      <c r="L93" s="36"/>
      <c r="M93" s="36"/>
      <c r="N93" s="26"/>
      <c r="O93" s="36"/>
      <c r="P93" s="36"/>
      <c r="Q93" s="26"/>
      <c r="R93" s="36"/>
      <c r="S93" s="26"/>
      <c r="T93" s="36"/>
      <c r="U93" s="26"/>
      <c r="V93" s="36"/>
      <c r="W93" s="26"/>
      <c r="X93" s="36"/>
      <c r="Y93" s="26"/>
      <c r="Z93" s="36"/>
      <c r="AA93" s="36"/>
      <c r="AB93" s="26"/>
      <c r="AE93" s="26"/>
      <c r="AF93" s="29"/>
      <c r="AH93" s="34"/>
      <c r="AI93" s="26"/>
      <c r="AJ93" s="26"/>
      <c r="AK93" s="26"/>
      <c r="AL93" s="26"/>
      <c r="AM93" s="26"/>
      <c r="AN93" s="29"/>
    </row>
    <row r="94" spans="2:40">
      <c r="B94" s="25"/>
      <c r="C94" s="28"/>
      <c r="D94" s="26"/>
      <c r="E94" s="26"/>
      <c r="F94" s="26"/>
      <c r="G94" s="28"/>
      <c r="H94" s="36"/>
      <c r="I94" s="26"/>
      <c r="J94" s="26"/>
      <c r="K94" s="28"/>
      <c r="L94" s="36"/>
      <c r="M94" s="26"/>
      <c r="N94" s="26"/>
      <c r="O94" s="26"/>
      <c r="P94" s="28"/>
      <c r="Q94" s="26"/>
      <c r="R94" s="26"/>
      <c r="S94" s="26"/>
      <c r="T94" s="28"/>
      <c r="U94" s="26"/>
      <c r="V94" s="26"/>
      <c r="W94" s="26"/>
      <c r="X94" s="36"/>
      <c r="Y94" s="26"/>
      <c r="Z94" s="26"/>
      <c r="AA94" s="26"/>
      <c r="AB94" s="26"/>
      <c r="AC94" s="26"/>
      <c r="AD94" s="26"/>
      <c r="AE94" s="26"/>
      <c r="AF94" s="29"/>
      <c r="AH94" s="34"/>
      <c r="AI94" s="26"/>
      <c r="AJ94" s="26"/>
      <c r="AK94" s="26"/>
      <c r="AL94" s="26"/>
      <c r="AM94" s="26"/>
      <c r="AN94" s="29"/>
    </row>
    <row r="95" spans="2:40" ht="15.75" thickBot="1">
      <c r="B95" s="61"/>
      <c r="C95" s="63"/>
      <c r="D95" s="62"/>
      <c r="E95" s="62"/>
      <c r="F95" s="62"/>
      <c r="G95" s="63"/>
      <c r="H95" s="62"/>
      <c r="I95" s="62"/>
      <c r="J95" s="62"/>
      <c r="K95" s="63"/>
      <c r="L95" s="80"/>
      <c r="M95" s="62"/>
      <c r="N95" s="62"/>
      <c r="O95" s="62"/>
      <c r="P95" s="63"/>
      <c r="Q95" s="62"/>
      <c r="R95" s="62"/>
      <c r="S95" s="62"/>
      <c r="T95" s="63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4"/>
      <c r="AH95" s="61"/>
      <c r="AI95" s="62"/>
      <c r="AJ95" s="62"/>
      <c r="AK95" s="62"/>
      <c r="AL95" s="62"/>
      <c r="AM95" s="62"/>
      <c r="AN95" s="64"/>
    </row>
    <row r="96" spans="2:40">
      <c r="C96" s="12"/>
      <c r="O96" s="9"/>
      <c r="P96" s="12"/>
      <c r="AB96" s="9"/>
    </row>
    <row r="97" spans="2:40">
      <c r="C97" s="12"/>
      <c r="O97" s="9"/>
      <c r="P97" s="12"/>
      <c r="AB97" s="9"/>
    </row>
    <row r="98" spans="2:40">
      <c r="C98" s="12"/>
      <c r="O98" s="9"/>
      <c r="P98" s="12"/>
      <c r="AB98" s="9"/>
    </row>
    <row r="99" spans="2:40" ht="17.25">
      <c r="B99" s="362" t="s">
        <v>218</v>
      </c>
      <c r="C99" s="12"/>
      <c r="O99" s="9"/>
      <c r="P99" s="12"/>
      <c r="AB99" s="9"/>
    </row>
    <row r="100" spans="2:40" ht="21.75" thickBot="1">
      <c r="B100" s="7" t="s">
        <v>780</v>
      </c>
      <c r="C100" s="12"/>
      <c r="O100" s="9"/>
      <c r="P100" s="12"/>
      <c r="AB100" s="9"/>
    </row>
    <row r="101" spans="2:40">
      <c r="B101" s="68"/>
      <c r="C101" s="21"/>
      <c r="D101" s="19"/>
      <c r="E101" s="19"/>
      <c r="F101" s="19"/>
      <c r="G101" s="21"/>
      <c r="H101" s="19"/>
      <c r="I101" s="19"/>
      <c r="J101" s="19"/>
      <c r="K101" s="21"/>
      <c r="L101" s="19"/>
      <c r="M101" s="19"/>
      <c r="N101" s="19"/>
      <c r="O101" s="19"/>
      <c r="P101" s="21"/>
      <c r="Q101" s="19"/>
      <c r="R101" s="19"/>
      <c r="S101" s="19"/>
      <c r="T101" s="21"/>
      <c r="U101" s="19"/>
      <c r="V101" s="19"/>
      <c r="W101" s="19"/>
      <c r="X101" s="21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22"/>
    </row>
    <row r="102" spans="2:40">
      <c r="B102" s="34"/>
      <c r="C102" s="118" t="s">
        <v>191</v>
      </c>
      <c r="D102" s="26"/>
      <c r="E102" s="26"/>
      <c r="F102" s="26"/>
      <c r="G102" s="26"/>
      <c r="H102" s="26"/>
      <c r="I102" s="26"/>
      <c r="J102" s="26"/>
      <c r="K102" s="28"/>
      <c r="L102" s="26"/>
      <c r="M102" s="26"/>
      <c r="N102" s="26"/>
      <c r="O102" s="28"/>
      <c r="P102" s="26"/>
      <c r="Q102" s="26"/>
      <c r="R102" s="26"/>
      <c r="S102" s="26"/>
      <c r="T102" s="26"/>
      <c r="U102" s="26"/>
      <c r="V102" s="26"/>
      <c r="W102" s="28"/>
      <c r="X102" s="26"/>
      <c r="Y102" s="26"/>
      <c r="Z102" s="26"/>
      <c r="AA102" s="290" t="s">
        <v>655</v>
      </c>
      <c r="AB102" s="291"/>
      <c r="AC102" s="420">
        <v>1440</v>
      </c>
      <c r="AD102" s="293" t="s">
        <v>575</v>
      </c>
      <c r="AE102" s="26"/>
      <c r="AF102" s="26"/>
      <c r="AG102" s="26"/>
      <c r="AH102" s="26"/>
      <c r="AI102" s="26"/>
      <c r="AJ102" s="26"/>
      <c r="AK102" s="26"/>
      <c r="AL102" s="26"/>
      <c r="AM102" s="26"/>
      <c r="AN102" s="29"/>
    </row>
    <row r="103" spans="2:40">
      <c r="B103" s="34"/>
      <c r="C103" s="115"/>
      <c r="D103" s="114"/>
      <c r="E103" s="114"/>
      <c r="F103" s="140" t="s">
        <v>231</v>
      </c>
      <c r="G103" s="140"/>
      <c r="H103" s="140"/>
      <c r="I103" s="140"/>
      <c r="J103" s="140"/>
      <c r="K103" s="140" t="s">
        <v>586</v>
      </c>
      <c r="L103" s="140"/>
      <c r="M103" s="140"/>
      <c r="N103" s="140"/>
      <c r="O103" s="140"/>
      <c r="P103" s="140"/>
      <c r="Q103" s="140" t="s">
        <v>587</v>
      </c>
      <c r="R103" s="140"/>
      <c r="S103" s="140"/>
      <c r="T103" s="140"/>
      <c r="U103" s="140"/>
      <c r="V103" s="140"/>
      <c r="W103" s="140" t="s">
        <v>213</v>
      </c>
      <c r="X103" s="140" t="s">
        <v>234</v>
      </c>
      <c r="Y103" s="116" t="s">
        <v>242</v>
      </c>
      <c r="Z103" s="26"/>
      <c r="AA103" s="295" t="s">
        <v>656</v>
      </c>
      <c r="AB103" s="79"/>
      <c r="AC103" s="79"/>
      <c r="AD103" s="71"/>
      <c r="AE103" s="26"/>
      <c r="AF103" s="26"/>
      <c r="AG103" s="26"/>
      <c r="AH103" s="26"/>
      <c r="AI103" s="26"/>
      <c r="AJ103" s="26"/>
      <c r="AK103" s="26"/>
      <c r="AL103" s="26"/>
      <c r="AM103" s="26"/>
      <c r="AN103" s="29"/>
    </row>
    <row r="104" spans="2:40" ht="15.75" thickBot="1">
      <c r="B104" s="34"/>
      <c r="C104" s="141"/>
      <c r="D104" s="142"/>
      <c r="E104" s="142" t="s">
        <v>219</v>
      </c>
      <c r="F104" s="142" t="s">
        <v>239</v>
      </c>
      <c r="G104" s="142" t="s">
        <v>240</v>
      </c>
      <c r="H104" s="142" t="s">
        <v>583</v>
      </c>
      <c r="I104" s="142" t="s">
        <v>584</v>
      </c>
      <c r="J104" s="142" t="s">
        <v>585</v>
      </c>
      <c r="K104" s="142" t="s">
        <v>236</v>
      </c>
      <c r="L104" s="142" t="s">
        <v>237</v>
      </c>
      <c r="M104" s="142" t="s">
        <v>197</v>
      </c>
      <c r="N104" s="142" t="s">
        <v>257</v>
      </c>
      <c r="O104" s="142" t="s">
        <v>238</v>
      </c>
      <c r="P104" s="142" t="s">
        <v>115</v>
      </c>
      <c r="Q104" s="142" t="s">
        <v>236</v>
      </c>
      <c r="R104" s="142" t="s">
        <v>237</v>
      </c>
      <c r="S104" s="142" t="s">
        <v>197</v>
      </c>
      <c r="T104" s="142" t="s">
        <v>257</v>
      </c>
      <c r="U104" s="142" t="s">
        <v>238</v>
      </c>
      <c r="V104" s="142" t="s">
        <v>115</v>
      </c>
      <c r="W104" s="142" t="s">
        <v>239</v>
      </c>
      <c r="X104" s="142"/>
      <c r="Y104" s="117"/>
      <c r="Z104" s="26"/>
      <c r="AA104" s="296" t="s">
        <v>241</v>
      </c>
      <c r="AB104" s="294" t="s">
        <v>219</v>
      </c>
      <c r="AC104" s="294" t="s">
        <v>241</v>
      </c>
      <c r="AD104" s="297" t="s">
        <v>219</v>
      </c>
      <c r="AE104" s="26"/>
      <c r="AF104" s="26"/>
      <c r="AG104" s="26"/>
      <c r="AH104" s="26"/>
      <c r="AI104" s="26"/>
      <c r="AJ104" s="26"/>
      <c r="AK104" s="26"/>
      <c r="AL104" s="26"/>
      <c r="AM104" s="26"/>
      <c r="AN104" s="29"/>
    </row>
    <row r="105" spans="2:40" ht="17.25" thickTop="1">
      <c r="B105" s="34"/>
      <c r="C105" s="143" t="s">
        <v>220</v>
      </c>
      <c r="D105" s="2" t="s">
        <v>104</v>
      </c>
      <c r="E105" s="2" t="s">
        <v>110</v>
      </c>
      <c r="F105" s="28">
        <f>-G16</f>
        <v>-252</v>
      </c>
      <c r="G105" s="28">
        <f>-SUM(K18:K19)</f>
        <v>-3129.2</v>
      </c>
      <c r="H105" s="28">
        <f>-Y19</f>
        <v>-17735.48180486343</v>
      </c>
      <c r="I105" s="28">
        <f>-AC17</f>
        <v>-16707.244935098668</v>
      </c>
      <c r="J105" s="28">
        <f>-AJ7</f>
        <v>-1.8</v>
      </c>
      <c r="K105" s="28"/>
      <c r="L105" s="28"/>
      <c r="M105" s="28">
        <f>-Q61</f>
        <v>-71.13600000000001</v>
      </c>
      <c r="N105" s="28"/>
      <c r="O105" s="28">
        <f>-M85</f>
        <v>-694.46758021379605</v>
      </c>
      <c r="P105" s="28">
        <f>Q78</f>
        <v>244520.51968770041</v>
      </c>
      <c r="Q105" s="28"/>
      <c r="R105" s="28"/>
      <c r="S105" s="28">
        <f>-AG27</f>
        <v>-5.6160000000000005</v>
      </c>
      <c r="T105" s="28"/>
      <c r="U105" s="28">
        <f>-AC48</f>
        <v>-555.18637018974118</v>
      </c>
      <c r="V105" s="28">
        <f>AG41</f>
        <v>97259.036873394565</v>
      </c>
      <c r="W105" s="32">
        <f>-(U84+AK43)</f>
        <v>-579.77312639224704</v>
      </c>
      <c r="X105" s="28">
        <f>SUM(F105:W105)</f>
        <v>302047.65074433706</v>
      </c>
      <c r="Y105" s="230">
        <f>X105/3.6*AC105*(O25/100)</f>
        <v>6117.8632963262717</v>
      </c>
      <c r="Z105" s="26"/>
      <c r="AA105" s="414">
        <v>105</v>
      </c>
      <c r="AB105" s="26" t="s">
        <v>338</v>
      </c>
      <c r="AC105" s="418">
        <f>AA105/$AC$102</f>
        <v>7.2916666666666671E-2</v>
      </c>
      <c r="AD105" s="75" t="s">
        <v>246</v>
      </c>
      <c r="AE105" s="26"/>
      <c r="AF105" s="26"/>
      <c r="AG105" s="26"/>
      <c r="AH105" s="26"/>
      <c r="AI105" s="26"/>
      <c r="AJ105" s="26"/>
      <c r="AK105" s="26"/>
      <c r="AL105" s="26"/>
      <c r="AM105" s="26"/>
      <c r="AN105" s="29"/>
    </row>
    <row r="106" spans="2:40">
      <c r="B106" s="34"/>
      <c r="C106" s="143"/>
      <c r="D106" s="2" t="s">
        <v>194</v>
      </c>
      <c r="E106" s="2" t="s">
        <v>110</v>
      </c>
      <c r="F106" s="28"/>
      <c r="G106" s="28"/>
      <c r="H106" s="28">
        <f>-T17</f>
        <v>0</v>
      </c>
      <c r="I106" s="28">
        <f>-X28</f>
        <v>0</v>
      </c>
      <c r="J106" s="28"/>
      <c r="K106" s="28">
        <f>-M62</f>
        <v>-597.79009627159678</v>
      </c>
      <c r="L106" s="28">
        <f>-I64</f>
        <v>-149.15555889630977</v>
      </c>
      <c r="M106" s="28"/>
      <c r="N106" s="28"/>
      <c r="O106" s="28"/>
      <c r="P106" s="28">
        <f>Q80</f>
        <v>407534.19947950065</v>
      </c>
      <c r="Q106" s="28">
        <f>AC28</f>
        <v>0</v>
      </c>
      <c r="R106" s="28">
        <f>-Y30</f>
        <v>-27.449296340533259</v>
      </c>
      <c r="S106" s="28"/>
      <c r="T106" s="28"/>
      <c r="U106" s="28"/>
      <c r="V106" s="28">
        <f>AG43</f>
        <v>162098.39478899096</v>
      </c>
      <c r="W106" s="32"/>
      <c r="X106" s="28">
        <f>SUM(F106:W106)</f>
        <v>568858.19931698311</v>
      </c>
      <c r="Y106" s="230">
        <v>0</v>
      </c>
      <c r="Z106" s="26"/>
      <c r="AA106" s="414"/>
      <c r="AB106" s="26"/>
      <c r="AC106" s="418"/>
      <c r="AD106" s="75"/>
      <c r="AE106" s="26"/>
      <c r="AF106" s="26"/>
      <c r="AG106" s="26"/>
      <c r="AH106" s="26"/>
      <c r="AI106" s="26"/>
      <c r="AJ106" s="26"/>
      <c r="AK106" s="26"/>
      <c r="AL106" s="26"/>
      <c r="AM106" s="26"/>
      <c r="AN106" s="29"/>
    </row>
    <row r="107" spans="2:40">
      <c r="B107" s="34"/>
      <c r="C107" s="143" t="s">
        <v>221</v>
      </c>
      <c r="D107" s="2" t="s">
        <v>25</v>
      </c>
      <c r="E107" s="2" t="s">
        <v>255</v>
      </c>
      <c r="F107" s="28">
        <f>G10/1000</f>
        <v>20.209199999999999</v>
      </c>
      <c r="G107" s="28">
        <f>K13/1000</f>
        <v>20.597367999999999</v>
      </c>
      <c r="H107" s="28">
        <f>-T8/1000</f>
        <v>0</v>
      </c>
      <c r="I107" s="28"/>
      <c r="J107" s="28"/>
      <c r="K107" s="28"/>
      <c r="L107" s="6"/>
      <c r="M107" s="28"/>
      <c r="N107" s="28">
        <f>-H75</f>
        <v>-1.1025337354675024</v>
      </c>
      <c r="O107" s="28"/>
      <c r="P107" s="28"/>
      <c r="Q107" s="28"/>
      <c r="R107" s="6"/>
      <c r="S107" s="28"/>
      <c r="T107" s="28">
        <f>-X38</f>
        <v>-0.43853730299997051</v>
      </c>
      <c r="U107" s="28"/>
      <c r="V107" s="28"/>
      <c r="W107" s="32"/>
      <c r="X107" s="28">
        <f>SUM(F107:W107)</f>
        <v>39.265496961532527</v>
      </c>
      <c r="Y107" s="230">
        <f t="shared" ref="Y107:Y113" si="0">-X107*AC107</f>
        <v>-19.605480774542976</v>
      </c>
      <c r="Z107" s="26"/>
      <c r="AA107" s="414">
        <v>719</v>
      </c>
      <c r="AB107" s="26" t="s">
        <v>243</v>
      </c>
      <c r="AC107" s="418">
        <f t="shared" ref="AC107:AC112" si="1">AA107/$AC$102</f>
        <v>0.49930555555555556</v>
      </c>
      <c r="AD107" s="75" t="s">
        <v>247</v>
      </c>
      <c r="AE107" s="26"/>
      <c r="AF107" s="26"/>
      <c r="AG107" s="26"/>
      <c r="AH107" s="26"/>
      <c r="AI107" s="26"/>
      <c r="AJ107" s="26"/>
      <c r="AK107" s="26"/>
      <c r="AL107" s="26"/>
      <c r="AM107" s="26"/>
      <c r="AN107" s="29"/>
    </row>
    <row r="108" spans="2:40" ht="16.5">
      <c r="B108" s="34"/>
      <c r="C108" s="143"/>
      <c r="D108" s="2" t="s">
        <v>222</v>
      </c>
      <c r="E108" s="2" t="s">
        <v>4</v>
      </c>
      <c r="F108" s="28">
        <f>K14</f>
        <v>51.49342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32"/>
      <c r="X108" s="28">
        <f>SUM(F108:W108)</f>
        <v>51.49342</v>
      </c>
      <c r="Y108" s="230">
        <f t="shared" si="0"/>
        <v>-20.978800740740741</v>
      </c>
      <c r="Z108" s="26"/>
      <c r="AA108" s="414">
        <f>11000/18.75</f>
        <v>586.66666666666663</v>
      </c>
      <c r="AB108" s="113" t="s">
        <v>574</v>
      </c>
      <c r="AC108" s="418">
        <f t="shared" si="1"/>
        <v>0.40740740740740738</v>
      </c>
      <c r="AD108" s="75" t="s">
        <v>580</v>
      </c>
      <c r="AE108" s="26"/>
      <c r="AF108" s="26"/>
      <c r="AG108" s="26"/>
      <c r="AH108" s="26"/>
      <c r="AI108" s="26"/>
      <c r="AJ108" s="26"/>
      <c r="AK108" s="26"/>
      <c r="AL108" s="26"/>
      <c r="AM108" s="26"/>
      <c r="AN108" s="29"/>
    </row>
    <row r="109" spans="2:40" ht="16.5">
      <c r="B109" s="34"/>
      <c r="C109" s="143"/>
      <c r="D109" s="2" t="s">
        <v>224</v>
      </c>
      <c r="E109" s="2" t="s">
        <v>4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>
        <f>M76</f>
        <v>89.844603730178534</v>
      </c>
      <c r="P109" s="28"/>
      <c r="Q109" s="28"/>
      <c r="R109" s="28"/>
      <c r="S109" s="28"/>
      <c r="T109" s="28"/>
      <c r="U109" s="28">
        <f>AC39</f>
        <v>35.736058627019581</v>
      </c>
      <c r="V109" s="28"/>
      <c r="W109" s="32"/>
      <c r="X109" s="28">
        <f>SUM(F109:W109)</f>
        <v>125.58066235719812</v>
      </c>
      <c r="Y109" s="230">
        <f t="shared" si="0"/>
        <v>-230.14400552822627</v>
      </c>
      <c r="Z109" s="26"/>
      <c r="AA109" s="432">
        <v>2639</v>
      </c>
      <c r="AB109" t="s">
        <v>579</v>
      </c>
      <c r="AC109" s="418">
        <f t="shared" si="1"/>
        <v>1.8326388888888889</v>
      </c>
      <c r="AD109" s="75" t="s">
        <v>248</v>
      </c>
      <c r="AE109" s="26"/>
      <c r="AF109" s="26"/>
      <c r="AG109" s="26"/>
      <c r="AH109" s="26"/>
      <c r="AI109" s="26"/>
      <c r="AJ109" s="26"/>
      <c r="AK109" s="26"/>
      <c r="AL109" s="26"/>
      <c r="AM109" s="26"/>
      <c r="AN109" s="29"/>
    </row>
    <row r="110" spans="2:40" ht="16.5">
      <c r="B110" s="34"/>
      <c r="C110" s="143"/>
      <c r="D110" s="2" t="s">
        <v>588</v>
      </c>
      <c r="E110" s="2" t="s">
        <v>13</v>
      </c>
      <c r="F110" s="28"/>
      <c r="G110" s="28"/>
      <c r="H110" s="28"/>
      <c r="I110" s="28"/>
      <c r="J110" s="28">
        <f>AF17</f>
        <v>40.86221728194495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32"/>
      <c r="X110" s="28">
        <f t="shared" ref="X110:X113" si="2">SUM(F110:W110)</f>
        <v>40.86221728194495</v>
      </c>
      <c r="Y110" s="230">
        <f t="shared" si="0"/>
        <v>-1.2505541080661904</v>
      </c>
      <c r="Z110" s="26"/>
      <c r="AA110" s="415">
        <v>44.07</v>
      </c>
      <c r="AB110" s="26" t="s">
        <v>244</v>
      </c>
      <c r="AC110" s="418">
        <f t="shared" si="1"/>
        <v>3.0604166666666668E-2</v>
      </c>
      <c r="AD110" s="75" t="s">
        <v>248</v>
      </c>
      <c r="AE110" s="226" t="s">
        <v>582</v>
      </c>
      <c r="AF110" s="26" t="s">
        <v>652</v>
      </c>
      <c r="AG110" s="26"/>
      <c r="AH110" s="26"/>
      <c r="AI110" s="26"/>
      <c r="AJ110" s="26"/>
      <c r="AK110" s="26"/>
      <c r="AL110" s="26"/>
      <c r="AM110" s="26"/>
      <c r="AN110" s="29"/>
    </row>
    <row r="111" spans="2:40">
      <c r="B111" s="34"/>
      <c r="C111" s="143"/>
      <c r="D111" s="2" t="s">
        <v>416</v>
      </c>
      <c r="E111" s="2" t="s">
        <v>20</v>
      </c>
      <c r="F111" s="28"/>
      <c r="G111" s="28"/>
      <c r="H111" s="28"/>
      <c r="I111" s="28"/>
      <c r="J111" s="28">
        <f>AF18</f>
        <v>593.28927110838436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32"/>
      <c r="X111" s="28">
        <f t="shared" si="2"/>
        <v>593.28927110838436</v>
      </c>
      <c r="Y111" s="230">
        <f>-X111*AC111</f>
        <v>-113.30177052417062</v>
      </c>
      <c r="Z111" s="26"/>
      <c r="AA111" s="414">
        <v>275</v>
      </c>
      <c r="AB111" s="26" t="s">
        <v>244</v>
      </c>
      <c r="AC111" s="418">
        <f t="shared" si="1"/>
        <v>0.19097222222222221</v>
      </c>
      <c r="AD111" s="75" t="s">
        <v>248</v>
      </c>
      <c r="AE111" s="26"/>
      <c r="AF111" s="26"/>
      <c r="AG111" s="26"/>
      <c r="AH111" s="26"/>
      <c r="AI111" s="26"/>
      <c r="AJ111" s="26"/>
      <c r="AK111" s="26"/>
      <c r="AL111" s="26"/>
      <c r="AM111" s="26"/>
      <c r="AN111" s="29"/>
    </row>
    <row r="112" spans="2:40" ht="16.5">
      <c r="B112" s="34"/>
      <c r="C112" s="143"/>
      <c r="D112" s="2" t="s">
        <v>589</v>
      </c>
      <c r="E112" s="2" t="s">
        <v>13</v>
      </c>
      <c r="F112" s="28"/>
      <c r="G112" s="28"/>
      <c r="H112" s="28"/>
      <c r="I112" s="28"/>
      <c r="J112" s="28">
        <f>AF19</f>
        <v>11.204479344860383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32"/>
      <c r="X112" s="28">
        <f t="shared" si="2"/>
        <v>11.204479344860383</v>
      </c>
      <c r="Y112" s="230">
        <f t="shared" si="0"/>
        <v>-29.178331627240578</v>
      </c>
      <c r="Z112" s="26"/>
      <c r="AA112" s="414">
        <v>3750</v>
      </c>
      <c r="AB112" s="113" t="s">
        <v>574</v>
      </c>
      <c r="AC112" s="418">
        <f t="shared" si="1"/>
        <v>2.6041666666666665</v>
      </c>
      <c r="AD112" s="75" t="s">
        <v>248</v>
      </c>
      <c r="AE112" s="26"/>
      <c r="AF112" s="26"/>
      <c r="AG112" s="26"/>
      <c r="AH112" s="26"/>
      <c r="AI112" s="26"/>
      <c r="AJ112" s="26"/>
      <c r="AK112" s="26"/>
      <c r="AL112" s="26"/>
      <c r="AM112" s="26"/>
      <c r="AN112" s="29"/>
    </row>
    <row r="113" spans="2:40">
      <c r="B113" s="34"/>
      <c r="C113" s="74"/>
      <c r="D113" s="2" t="s">
        <v>614</v>
      </c>
      <c r="E113" s="26" t="s">
        <v>609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32">
        <f>U80+AO41</f>
        <v>6.0298626666666664</v>
      </c>
      <c r="X113" s="28">
        <f t="shared" si="2"/>
        <v>6.0298626666666664</v>
      </c>
      <c r="Y113" s="230">
        <f t="shared" si="0"/>
        <v>-8.4418077333333326</v>
      </c>
      <c r="Z113" s="26"/>
      <c r="AA113" s="415"/>
      <c r="AB113" s="28"/>
      <c r="AC113" s="404">
        <v>1.4</v>
      </c>
      <c r="AD113" s="75" t="s">
        <v>607</v>
      </c>
      <c r="AE113" s="26" t="s">
        <v>606</v>
      </c>
      <c r="AF113" s="26"/>
      <c r="AG113" s="26"/>
      <c r="AH113" s="26"/>
      <c r="AI113" s="26"/>
      <c r="AJ113" s="26"/>
      <c r="AK113" s="26"/>
      <c r="AL113" s="26"/>
      <c r="AM113" s="26"/>
      <c r="AN113" s="29"/>
    </row>
    <row r="114" spans="2:40" ht="16.5">
      <c r="B114" s="34"/>
      <c r="C114" s="74"/>
      <c r="D114" s="2" t="s">
        <v>615</v>
      </c>
      <c r="E114" s="7" t="s">
        <v>609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32">
        <f>U81+AO42</f>
        <v>4.5223969999999998</v>
      </c>
      <c r="X114" s="28">
        <f>SUM(F114:W114)</f>
        <v>4.5223969999999998</v>
      </c>
      <c r="Y114" s="230">
        <f>-X114*AC114</f>
        <v>-1.0853752799999998</v>
      </c>
      <c r="Z114" s="26"/>
      <c r="AA114" s="414"/>
      <c r="AB114" s="225"/>
      <c r="AC114" s="418">
        <f>(0.18+0.3)/2</f>
        <v>0.24</v>
      </c>
      <c r="AD114" s="75" t="s">
        <v>607</v>
      </c>
      <c r="AE114" s="233" t="s">
        <v>610</v>
      </c>
      <c r="AF114" s="26" t="s">
        <v>652</v>
      </c>
      <c r="AG114" s="26"/>
      <c r="AH114" s="26"/>
      <c r="AI114" s="26"/>
      <c r="AJ114" s="26"/>
      <c r="AK114" s="26"/>
      <c r="AL114" s="26"/>
      <c r="AM114" s="26"/>
      <c r="AN114" s="29"/>
    </row>
    <row r="115" spans="2:40">
      <c r="B115" s="34"/>
      <c r="C115" s="143" t="s">
        <v>225</v>
      </c>
      <c r="D115" s="2" t="s">
        <v>226</v>
      </c>
      <c r="E115" s="2" t="s">
        <v>256</v>
      </c>
      <c r="F115" s="28"/>
      <c r="G115" s="28"/>
      <c r="H115" s="28"/>
      <c r="I115" s="28">
        <f>AF11</f>
        <v>3.0896051999999998</v>
      </c>
      <c r="J115" s="28"/>
      <c r="K115" s="28">
        <f>U92</f>
        <v>1.7546320000000029</v>
      </c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32"/>
      <c r="X115" s="28">
        <f>SUM(F115:W115)</f>
        <v>4.8442372000000029</v>
      </c>
      <c r="Y115" s="230">
        <f>-X115*AC115</f>
        <v>-370.04589722222244</v>
      </c>
      <c r="Z115" s="26"/>
      <c r="AA115" s="414">
        <v>110000</v>
      </c>
      <c r="AB115" s="26" t="s">
        <v>245</v>
      </c>
      <c r="AC115" s="404">
        <f>AA115/$AC$102</f>
        <v>76.388888888888886</v>
      </c>
      <c r="AD115" s="75" t="s">
        <v>249</v>
      </c>
      <c r="AE115" s="26"/>
      <c r="AF115" s="26"/>
      <c r="AG115" s="26"/>
      <c r="AH115" s="26"/>
      <c r="AI115" s="26"/>
      <c r="AJ115" s="26"/>
      <c r="AK115" s="26"/>
      <c r="AL115" s="26"/>
      <c r="AM115" s="26"/>
      <c r="AN115" s="29"/>
    </row>
    <row r="116" spans="2:40">
      <c r="B116" s="34"/>
      <c r="C116" s="143"/>
      <c r="D116" s="2" t="s">
        <v>188</v>
      </c>
      <c r="E116" s="2" t="s">
        <v>256</v>
      </c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32">
        <f>U83+AK42</f>
        <v>70.481365986435577</v>
      </c>
      <c r="X116" s="28">
        <f>SUM(F116:W116)</f>
        <v>70.481365986435577</v>
      </c>
      <c r="Y116" s="230">
        <f>-X116*AC116</f>
        <v>-5383.9932350749395</v>
      </c>
      <c r="Z116" s="26"/>
      <c r="AA116" s="415">
        <v>110000</v>
      </c>
      <c r="AB116" s="26" t="s">
        <v>245</v>
      </c>
      <c r="AC116" s="404">
        <f>AA116/$AC$102</f>
        <v>76.388888888888886</v>
      </c>
      <c r="AD116" s="75" t="s">
        <v>249</v>
      </c>
      <c r="AE116" s="26"/>
      <c r="AF116" s="26"/>
      <c r="AG116" s="26"/>
      <c r="AH116" s="26"/>
      <c r="AI116" s="26"/>
      <c r="AJ116" s="26"/>
      <c r="AK116" s="26"/>
      <c r="AL116" s="26"/>
      <c r="AM116" s="26"/>
      <c r="AN116" s="29"/>
    </row>
    <row r="117" spans="2:40">
      <c r="B117" s="34"/>
      <c r="C117" s="144"/>
      <c r="D117" s="145" t="s">
        <v>228</v>
      </c>
      <c r="E117" s="145" t="s">
        <v>255</v>
      </c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333">
        <f>U87+AK45</f>
        <v>65.19054401356442</v>
      </c>
      <c r="X117" s="77">
        <f>SUM(F117:W117)</f>
        <v>65.19054401356442</v>
      </c>
      <c r="Y117" s="231">
        <f>-X117*AC117</f>
        <v>-12.585396691507576</v>
      </c>
      <c r="Z117" s="26"/>
      <c r="AA117" s="416">
        <v>278</v>
      </c>
      <c r="AB117" s="81" t="s">
        <v>243</v>
      </c>
      <c r="AC117" s="405">
        <f>AA117/$AC$102</f>
        <v>0.19305555555555556</v>
      </c>
      <c r="AD117" s="78" t="s">
        <v>249</v>
      </c>
      <c r="AE117" s="26"/>
      <c r="AF117" s="26"/>
      <c r="AG117" s="26"/>
      <c r="AH117" s="26"/>
      <c r="AI117" s="26"/>
      <c r="AJ117" s="26"/>
      <c r="AK117" s="26"/>
      <c r="AL117" s="26"/>
      <c r="AM117" s="26"/>
      <c r="AN117" s="29"/>
    </row>
    <row r="118" spans="2:40">
      <c r="B118" s="34"/>
      <c r="C118" s="26"/>
      <c r="D118" s="26"/>
      <c r="E118" s="26"/>
      <c r="F118" s="26"/>
      <c r="G118" s="28"/>
      <c r="H118" s="26"/>
      <c r="I118" s="26"/>
      <c r="J118" s="28"/>
      <c r="K118" s="26"/>
      <c r="L118" s="26"/>
      <c r="M118" s="26"/>
      <c r="N118" s="28"/>
      <c r="O118" s="26"/>
      <c r="P118" s="26"/>
      <c r="Q118" s="26"/>
      <c r="R118" s="26"/>
      <c r="S118" s="28"/>
      <c r="T118" s="26"/>
      <c r="U118" s="26"/>
      <c r="V118" s="27" t="s">
        <v>616</v>
      </c>
      <c r="W118" s="27" t="s">
        <v>104</v>
      </c>
      <c r="X118" s="27">
        <f>X105</f>
        <v>302047.65074433706</v>
      </c>
      <c r="Y118" s="27" t="s">
        <v>110</v>
      </c>
      <c r="Z118" s="26"/>
      <c r="AA118" s="27"/>
      <c r="AB118" s="6">
        <f>X118/($C$7+$C$10)*1000</f>
        <v>3366.7088450704118</v>
      </c>
      <c r="AC118" s="27" t="s">
        <v>781</v>
      </c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9"/>
    </row>
    <row r="119" spans="2:40">
      <c r="B119" s="34"/>
      <c r="C119" s="26"/>
      <c r="D119" s="26"/>
      <c r="E119" s="26"/>
      <c r="F119" s="26"/>
      <c r="G119" s="28"/>
      <c r="H119" s="26"/>
      <c r="I119" s="26"/>
      <c r="J119" s="28"/>
      <c r="K119" s="26"/>
      <c r="L119" s="26"/>
      <c r="M119" s="26"/>
      <c r="N119" s="28"/>
      <c r="O119" s="26"/>
      <c r="P119" s="26"/>
      <c r="Q119" s="26"/>
      <c r="R119" s="26"/>
      <c r="S119" s="26"/>
      <c r="T119" s="26"/>
      <c r="U119" s="26"/>
      <c r="V119" s="27"/>
      <c r="W119" s="27"/>
      <c r="X119" s="6">
        <f>X118/1000</f>
        <v>302.04765074433709</v>
      </c>
      <c r="Y119" s="27" t="s">
        <v>733</v>
      </c>
      <c r="Z119" s="26"/>
      <c r="AA119" s="27"/>
      <c r="AB119" s="6">
        <f t="shared" ref="AB119:AB124" si="3">X119/($C$7+$C$10)*1000</f>
        <v>3.3667088450704119</v>
      </c>
      <c r="AC119" s="27" t="s">
        <v>783</v>
      </c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9"/>
    </row>
    <row r="120" spans="2:40">
      <c r="B120" s="34"/>
      <c r="C120" s="26"/>
      <c r="D120" s="26"/>
      <c r="E120" s="26"/>
      <c r="F120" s="26"/>
      <c r="G120" s="28"/>
      <c r="H120" s="26"/>
      <c r="I120" s="26"/>
      <c r="J120" s="26"/>
      <c r="K120" s="28"/>
      <c r="L120" s="26"/>
      <c r="M120" s="26"/>
      <c r="N120" s="26"/>
      <c r="O120" s="28"/>
      <c r="P120" s="26"/>
      <c r="Q120" s="26"/>
      <c r="R120" s="26"/>
      <c r="S120" s="26"/>
      <c r="T120" s="28"/>
      <c r="U120" s="26"/>
      <c r="V120" s="27"/>
      <c r="W120" s="27" t="s">
        <v>194</v>
      </c>
      <c r="X120" s="27">
        <f>X106</f>
        <v>568858.19931698311</v>
      </c>
      <c r="Y120" s="27" t="s">
        <v>110</v>
      </c>
      <c r="Z120" s="26"/>
      <c r="AA120" s="27"/>
      <c r="AB120" s="6">
        <f t="shared" si="3"/>
        <v>6340.6549480246904</v>
      </c>
      <c r="AC120" s="27" t="s">
        <v>781</v>
      </c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9"/>
    </row>
    <row r="121" spans="2:40">
      <c r="B121" s="34"/>
      <c r="C121" s="26"/>
      <c r="D121" s="26"/>
      <c r="E121" s="26"/>
      <c r="F121" s="26"/>
      <c r="G121" s="28"/>
      <c r="H121" s="26"/>
      <c r="I121" s="26"/>
      <c r="J121" s="26"/>
      <c r="K121" s="28"/>
      <c r="L121" s="26"/>
      <c r="M121" s="26"/>
      <c r="N121" s="26"/>
      <c r="O121" s="28"/>
      <c r="P121" s="26"/>
      <c r="Q121" s="26"/>
      <c r="R121" s="26"/>
      <c r="S121" s="26"/>
      <c r="T121" s="28"/>
      <c r="U121" s="26"/>
      <c r="V121" s="27"/>
      <c r="W121" s="27"/>
      <c r="X121" s="6">
        <f>X120/1000</f>
        <v>568.85819931698313</v>
      </c>
      <c r="Y121" s="27" t="s">
        <v>733</v>
      </c>
      <c r="Z121" s="26"/>
      <c r="AA121" s="27"/>
      <c r="AB121" s="6">
        <f t="shared" si="3"/>
        <v>6.3406549480246905</v>
      </c>
      <c r="AC121" s="27" t="s">
        <v>783</v>
      </c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9"/>
    </row>
    <row r="122" spans="2:40">
      <c r="B122" s="34"/>
      <c r="C122" s="26"/>
      <c r="D122" s="26"/>
      <c r="E122" s="26"/>
      <c r="F122" s="26"/>
      <c r="G122" s="28"/>
      <c r="H122" s="26"/>
      <c r="I122" s="26"/>
      <c r="J122" s="26"/>
      <c r="K122" s="28"/>
      <c r="L122" s="26"/>
      <c r="M122" s="26"/>
      <c r="N122" s="26"/>
      <c r="O122" s="28"/>
      <c r="P122" s="26"/>
      <c r="Q122" s="26"/>
      <c r="R122" s="26"/>
      <c r="S122" s="26"/>
      <c r="T122" s="28"/>
      <c r="U122" s="26"/>
      <c r="V122" s="27"/>
      <c r="W122" s="6" t="s">
        <v>732</v>
      </c>
      <c r="X122" s="27">
        <f>SUM(X118,X120)</f>
        <v>870905.85006132023</v>
      </c>
      <c r="Y122" s="27" t="s">
        <v>110</v>
      </c>
      <c r="Z122" s="26"/>
      <c r="AA122" s="27"/>
      <c r="AB122" s="6">
        <f t="shared" si="3"/>
        <v>9707.3637930951027</v>
      </c>
      <c r="AC122" s="27" t="s">
        <v>781</v>
      </c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9"/>
    </row>
    <row r="123" spans="2:40">
      <c r="B123" s="34"/>
      <c r="C123" s="26"/>
      <c r="D123" s="26"/>
      <c r="E123" s="28"/>
      <c r="F123" s="26"/>
      <c r="G123" s="28"/>
      <c r="H123" s="26"/>
      <c r="I123" s="26"/>
      <c r="J123" s="26"/>
      <c r="K123" s="28"/>
      <c r="L123" s="26"/>
      <c r="M123" s="26"/>
      <c r="N123" s="26"/>
      <c r="O123" s="28"/>
      <c r="P123" s="26"/>
      <c r="Q123" s="26"/>
      <c r="R123" s="26"/>
      <c r="S123" s="26"/>
      <c r="T123" s="28"/>
      <c r="U123" s="26"/>
      <c r="V123" s="27"/>
      <c r="W123" s="27"/>
      <c r="X123" s="6">
        <f>SUM(X119,X121)</f>
        <v>870.90585006132028</v>
      </c>
      <c r="Y123" s="27" t="s">
        <v>733</v>
      </c>
      <c r="Z123" s="26"/>
      <c r="AA123" s="27"/>
      <c r="AB123" s="6">
        <f t="shared" si="3"/>
        <v>9.7073637930951033</v>
      </c>
      <c r="AC123" s="27" t="s">
        <v>783</v>
      </c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9"/>
    </row>
    <row r="124" spans="2:40" ht="15.75" thickBot="1">
      <c r="B124" s="61"/>
      <c r="C124" s="62"/>
      <c r="D124" s="62"/>
      <c r="E124" s="63"/>
      <c r="F124" s="62"/>
      <c r="G124" s="63"/>
      <c r="H124" s="62"/>
      <c r="I124" s="62"/>
      <c r="J124" s="62"/>
      <c r="K124" s="63"/>
      <c r="L124" s="62"/>
      <c r="M124" s="62"/>
      <c r="N124" s="62"/>
      <c r="O124" s="63"/>
      <c r="P124" s="62"/>
      <c r="Q124" s="62"/>
      <c r="R124" s="62"/>
      <c r="S124" s="62"/>
      <c r="T124" s="63"/>
      <c r="U124" s="62"/>
      <c r="V124" s="241" t="s">
        <v>618</v>
      </c>
      <c r="W124" s="241"/>
      <c r="X124" s="241">
        <f>SUM(Y105:Y117)</f>
        <v>-72.747358978718864</v>
      </c>
      <c r="Y124" s="241" t="s">
        <v>254</v>
      </c>
      <c r="Z124" s="62"/>
      <c r="AA124" s="241"/>
      <c r="AB124" s="366">
        <f t="shared" si="3"/>
        <v>-0.81086271098487295</v>
      </c>
      <c r="AC124" s="241" t="s">
        <v>249</v>
      </c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4"/>
    </row>
    <row r="128" spans="2:40" ht="20.25">
      <c r="B128" s="360" t="s">
        <v>779</v>
      </c>
      <c r="C128" s="359"/>
    </row>
    <row r="129" spans="2:40">
      <c r="B129" s="9" t="s">
        <v>775</v>
      </c>
    </row>
    <row r="130" spans="2:40">
      <c r="C130" s="359"/>
    </row>
    <row r="131" spans="2:40" ht="15.75" thickBot="1">
      <c r="B131" s="4" t="s">
        <v>776</v>
      </c>
    </row>
    <row r="132" spans="2:40">
      <c r="B132" s="68"/>
      <c r="C132" s="21"/>
      <c r="D132" s="19"/>
      <c r="E132" s="19"/>
      <c r="F132" s="19"/>
      <c r="G132" s="21"/>
      <c r="H132" s="19"/>
      <c r="I132" s="19"/>
      <c r="J132" s="19"/>
      <c r="K132" s="21"/>
      <c r="L132" s="19"/>
      <c r="M132" s="19"/>
      <c r="N132" s="19"/>
      <c r="O132" s="19"/>
      <c r="P132" s="21"/>
      <c r="Q132" s="19"/>
      <c r="R132" s="19"/>
      <c r="S132" s="19"/>
      <c r="T132" s="21"/>
      <c r="U132" s="19"/>
      <c r="V132" s="19"/>
      <c r="W132" s="19"/>
      <c r="X132" s="21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22"/>
    </row>
    <row r="133" spans="2:40">
      <c r="B133" s="34"/>
      <c r="C133" s="118" t="s">
        <v>191</v>
      </c>
      <c r="D133" s="26"/>
      <c r="E133" s="26"/>
      <c r="F133" s="26"/>
      <c r="G133" s="26"/>
      <c r="H133" s="26"/>
      <c r="I133" s="26"/>
      <c r="J133" s="26"/>
      <c r="K133" s="28"/>
      <c r="L133" s="26"/>
      <c r="M133" s="26"/>
      <c r="N133" s="26"/>
      <c r="O133" s="28"/>
      <c r="P133" s="26"/>
      <c r="Q133" s="26"/>
      <c r="R133" s="26"/>
      <c r="S133" s="26"/>
      <c r="T133" s="26"/>
      <c r="U133" s="26"/>
      <c r="V133" s="26"/>
      <c r="W133" s="28"/>
      <c r="X133" s="26"/>
      <c r="Y133" s="26"/>
      <c r="Z133" s="26"/>
      <c r="AA133" s="290" t="s">
        <v>212</v>
      </c>
      <c r="AB133" s="291"/>
      <c r="AC133" s="420">
        <v>1440</v>
      </c>
      <c r="AD133" s="293" t="s">
        <v>575</v>
      </c>
      <c r="AE133" s="26"/>
      <c r="AF133" s="26"/>
      <c r="AG133" s="26"/>
      <c r="AH133" s="26"/>
      <c r="AI133" s="26"/>
      <c r="AJ133" s="26"/>
      <c r="AK133" s="26"/>
      <c r="AL133" s="26"/>
      <c r="AM133" s="26"/>
      <c r="AN133" s="29"/>
    </row>
    <row r="134" spans="2:40">
      <c r="B134" s="34"/>
      <c r="C134" s="115"/>
      <c r="D134" s="114"/>
      <c r="E134" s="114"/>
      <c r="F134" s="140" t="s">
        <v>231</v>
      </c>
      <c r="G134" s="140"/>
      <c r="H134" s="140"/>
      <c r="I134" s="140"/>
      <c r="J134" s="140"/>
      <c r="K134" s="140" t="s">
        <v>586</v>
      </c>
      <c r="L134" s="140"/>
      <c r="M134" s="140"/>
      <c r="N134" s="140"/>
      <c r="O134" s="140"/>
      <c r="P134" s="140"/>
      <c r="Q134" s="140" t="s">
        <v>587</v>
      </c>
      <c r="R134" s="140"/>
      <c r="S134" s="140"/>
      <c r="T134" s="140"/>
      <c r="U134" s="140"/>
      <c r="V134" s="140"/>
      <c r="W134" s="140" t="s">
        <v>213</v>
      </c>
      <c r="X134" s="140" t="s">
        <v>234</v>
      </c>
      <c r="Y134" s="116" t="s">
        <v>242</v>
      </c>
      <c r="Z134" s="26"/>
      <c r="AA134" s="295" t="s">
        <v>656</v>
      </c>
      <c r="AB134" s="79"/>
      <c r="AC134" s="79"/>
      <c r="AD134" s="71"/>
      <c r="AE134" s="26"/>
      <c r="AF134" s="26"/>
      <c r="AG134" s="26"/>
      <c r="AH134" s="26"/>
      <c r="AI134" s="26"/>
      <c r="AJ134" s="26"/>
      <c r="AK134" s="26"/>
      <c r="AL134" s="26"/>
      <c r="AM134" s="26"/>
      <c r="AN134" s="29"/>
    </row>
    <row r="135" spans="2:40" ht="15.75" thickBot="1">
      <c r="B135" s="34"/>
      <c r="C135" s="141"/>
      <c r="D135" s="142"/>
      <c r="E135" s="142" t="s">
        <v>219</v>
      </c>
      <c r="F135" s="142" t="s">
        <v>239</v>
      </c>
      <c r="G135" s="142" t="s">
        <v>240</v>
      </c>
      <c r="H135" s="142" t="s">
        <v>583</v>
      </c>
      <c r="I135" s="142" t="s">
        <v>584</v>
      </c>
      <c r="J135" s="142" t="s">
        <v>585</v>
      </c>
      <c r="K135" s="142" t="s">
        <v>236</v>
      </c>
      <c r="L135" s="142" t="s">
        <v>237</v>
      </c>
      <c r="M135" s="142" t="s">
        <v>197</v>
      </c>
      <c r="N135" s="142" t="s">
        <v>257</v>
      </c>
      <c r="O135" s="142" t="s">
        <v>238</v>
      </c>
      <c r="P135" s="142" t="s">
        <v>115</v>
      </c>
      <c r="Q135" s="142" t="s">
        <v>236</v>
      </c>
      <c r="R135" s="142" t="s">
        <v>237</v>
      </c>
      <c r="S135" s="142" t="s">
        <v>197</v>
      </c>
      <c r="T135" s="142" t="s">
        <v>257</v>
      </c>
      <c r="U135" s="142" t="s">
        <v>238</v>
      </c>
      <c r="V135" s="142" t="s">
        <v>115</v>
      </c>
      <c r="W135" s="142" t="s">
        <v>239</v>
      </c>
      <c r="X135" s="142"/>
      <c r="Y135" s="117"/>
      <c r="Z135" s="26"/>
      <c r="AA135" s="296" t="s">
        <v>241</v>
      </c>
      <c r="AB135" s="294" t="s">
        <v>219</v>
      </c>
      <c r="AC135" s="294" t="s">
        <v>241</v>
      </c>
      <c r="AD135" s="297" t="s">
        <v>219</v>
      </c>
      <c r="AE135" s="26"/>
      <c r="AF135" s="26"/>
      <c r="AG135" s="26"/>
      <c r="AH135" s="26"/>
      <c r="AI135" s="26"/>
      <c r="AJ135" s="26"/>
      <c r="AK135" s="26"/>
      <c r="AL135" s="26"/>
      <c r="AM135" s="26"/>
      <c r="AN135" s="29"/>
    </row>
    <row r="136" spans="2:40" ht="17.25" thickTop="1">
      <c r="B136" s="34"/>
      <c r="C136" s="143" t="s">
        <v>220</v>
      </c>
      <c r="D136" s="2" t="s">
        <v>104</v>
      </c>
      <c r="E136" s="2" t="s">
        <v>781</v>
      </c>
      <c r="F136" s="28">
        <f>-G16/(C7+C10)*C9*1000</f>
        <v>-0.69980513518862453</v>
      </c>
      <c r="G136" s="28">
        <f>-SUM(K18:K19)/(C7+C10)*C9*1000</f>
        <v>-8.6898024961596985</v>
      </c>
      <c r="H136" s="28">
        <f>-Y19/O8*1000/(C7+C10)*C9*1000</f>
        <v>-2.3911556498591451</v>
      </c>
      <c r="I136" s="28">
        <f>-AC17/(C7+C10)*C9*1000</f>
        <v>-46.39609444617534</v>
      </c>
      <c r="J136" s="28">
        <f>-AJ7/(O8+O10)*O17*1000</f>
        <v>-8.7210593945851997E-2</v>
      </c>
      <c r="K136" s="28"/>
      <c r="L136" s="28"/>
      <c r="M136" s="28">
        <f>-Q61/(G31+G33)*G37*1000</f>
        <v>-1.0838155200753476</v>
      </c>
      <c r="N136" s="28"/>
      <c r="O136" s="28"/>
      <c r="P136" s="28"/>
      <c r="Q136" s="28"/>
      <c r="R136" s="28"/>
      <c r="S136" s="28">
        <f>-AG27/(O8+O10)*O17*1000</f>
        <v>-0.27209705311105831</v>
      </c>
      <c r="T136" s="28"/>
      <c r="U136" s="28">
        <f>-AC48/(O8+O10)*O17*1000</f>
        <v>-26.898962830493883</v>
      </c>
      <c r="V136" s="28">
        <f>AG41/(O8+O10)*O17*1000</f>
        <v>4712.2324290723673</v>
      </c>
      <c r="W136" s="32">
        <f>(-AK43/(O8+O10)*O17*1000)+(-U84/(G31+G33)*G36*1000)</f>
        <v>-1.0307726608472658</v>
      </c>
      <c r="X136" s="28">
        <f>SUM(F136:W136)</f>
        <v>4624.682712686511</v>
      </c>
      <c r="Y136" s="230">
        <f>X136/3.6*AC136*(O25/100)</f>
        <v>93.671235500016138</v>
      </c>
      <c r="Z136" s="26"/>
      <c r="AA136" s="414">
        <v>105</v>
      </c>
      <c r="AB136" s="26" t="s">
        <v>338</v>
      </c>
      <c r="AC136" s="418">
        <f>AA136/$AC$102</f>
        <v>7.2916666666666671E-2</v>
      </c>
      <c r="AD136" s="75" t="s">
        <v>246</v>
      </c>
      <c r="AE136" s="26"/>
      <c r="AF136" s="26"/>
      <c r="AG136" s="26"/>
      <c r="AH136" s="26"/>
      <c r="AI136" s="26"/>
      <c r="AJ136" s="26"/>
      <c r="AK136" s="26"/>
      <c r="AL136" s="26"/>
      <c r="AM136" s="26"/>
      <c r="AN136" s="29"/>
    </row>
    <row r="137" spans="2:40">
      <c r="B137" s="34"/>
      <c r="C137" s="143"/>
      <c r="D137" s="2" t="s">
        <v>194</v>
      </c>
      <c r="E137" s="2" t="s">
        <v>781</v>
      </c>
      <c r="F137" s="28"/>
      <c r="G137" s="28"/>
      <c r="H137" s="28"/>
      <c r="I137" s="28"/>
      <c r="J137" s="28"/>
      <c r="K137" s="28">
        <f>-M62/(G31+G33)*G37*1000</f>
        <v>-9.1078242252374704</v>
      </c>
      <c r="L137" s="28">
        <f>-I64/(G31+G33)*G37*1000</f>
        <v>-2.272507726570697</v>
      </c>
      <c r="M137" s="28"/>
      <c r="N137" s="28"/>
      <c r="O137" s="28"/>
      <c r="P137" s="28"/>
      <c r="Q137" s="28"/>
      <c r="R137" s="28">
        <f>-Y30/(O8+O10)*O17*1000</f>
        <v>-1.3299274651408928</v>
      </c>
      <c r="S137" s="28"/>
      <c r="T137" s="28"/>
      <c r="U137" s="28"/>
      <c r="V137" s="28">
        <f>AG43/(O8+O10)*O17*1000</f>
        <v>7853.7207151206121</v>
      </c>
      <c r="W137" s="32"/>
      <c r="X137" s="28">
        <f>SUM(F137:W137)</f>
        <v>7841.010455703663</v>
      </c>
      <c r="Y137" s="230">
        <v>0</v>
      </c>
      <c r="Z137" s="26"/>
      <c r="AA137" s="414"/>
      <c r="AB137" s="26"/>
      <c r="AC137" s="418"/>
      <c r="AD137" s="75"/>
      <c r="AE137" s="26"/>
      <c r="AF137" s="26"/>
      <c r="AG137" s="26"/>
      <c r="AH137" s="26"/>
      <c r="AI137" s="26"/>
      <c r="AJ137" s="26"/>
      <c r="AK137" s="26"/>
      <c r="AL137" s="26"/>
      <c r="AM137" s="26"/>
      <c r="AN137" s="29"/>
    </row>
    <row r="138" spans="2:40">
      <c r="B138" s="34"/>
      <c r="C138" s="143" t="s">
        <v>221</v>
      </c>
      <c r="D138" s="2" t="s">
        <v>25</v>
      </c>
      <c r="E138" s="2" t="s">
        <v>798</v>
      </c>
      <c r="F138" s="28">
        <f>G10/1000/(C7+C10)*C9*1000</f>
        <v>5.6121039436722024E-2</v>
      </c>
      <c r="G138" s="28">
        <f>K13/1000/(C7+C10)*C9*1000</f>
        <v>5.7198983721308931E-2</v>
      </c>
      <c r="H138" s="28"/>
      <c r="I138" s="28"/>
      <c r="J138" s="28"/>
      <c r="K138" s="28"/>
      <c r="L138" s="6"/>
      <c r="M138" s="28"/>
      <c r="N138" s="28"/>
      <c r="O138" s="28"/>
      <c r="P138" s="28"/>
      <c r="Q138" s="28"/>
      <c r="R138" s="6"/>
      <c r="S138" s="28"/>
      <c r="T138" s="28">
        <f>-X38/(O8+O10)*O17*1000</f>
        <v>-2.1247277034466383E-2</v>
      </c>
      <c r="U138" s="28"/>
      <c r="V138" s="28"/>
      <c r="W138" s="32"/>
      <c r="X138" s="28">
        <f>SUM(F138:W138)</f>
        <v>9.2072746123564572E-2</v>
      </c>
      <c r="Y138" s="230">
        <f t="shared" ref="Y138:Y141" si="4">-X138*AC138</f>
        <v>-4.597243365475203E-2</v>
      </c>
      <c r="Z138" s="26"/>
      <c r="AA138" s="414">
        <v>719</v>
      </c>
      <c r="AB138" s="26" t="s">
        <v>243</v>
      </c>
      <c r="AC138" s="418">
        <f t="shared" ref="AC138:AC143" si="5">AA138/$AC$102</f>
        <v>0.49930555555555556</v>
      </c>
      <c r="AD138" s="75" t="s">
        <v>247</v>
      </c>
      <c r="AE138" s="26"/>
      <c r="AF138" s="26"/>
      <c r="AG138" s="26"/>
      <c r="AH138" s="26"/>
      <c r="AI138" s="26"/>
      <c r="AJ138" s="26"/>
      <c r="AK138" s="26"/>
      <c r="AL138" s="26"/>
      <c r="AM138" s="26"/>
      <c r="AN138" s="29"/>
    </row>
    <row r="139" spans="2:40" ht="16.5">
      <c r="B139" s="34"/>
      <c r="C139" s="143"/>
      <c r="D139" s="2" t="s">
        <v>222</v>
      </c>
      <c r="E139" s="2" t="s">
        <v>799</v>
      </c>
      <c r="F139" s="28">
        <f>K14/(C7+C10)*C9*1000</f>
        <v>0.14299745930327232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32"/>
      <c r="X139" s="28">
        <f>SUM(F139:W139)</f>
        <v>0.14299745930327232</v>
      </c>
      <c r="Y139" s="230">
        <f t="shared" si="4"/>
        <v>-5.8258224160592426E-2</v>
      </c>
      <c r="Z139" s="26"/>
      <c r="AA139" s="414">
        <f>11000/18.75</f>
        <v>586.66666666666663</v>
      </c>
      <c r="AB139" s="113" t="s">
        <v>574</v>
      </c>
      <c r="AC139" s="418">
        <f t="shared" si="5"/>
        <v>0.40740740740740738</v>
      </c>
      <c r="AD139" s="75" t="s">
        <v>580</v>
      </c>
      <c r="AE139" s="26"/>
      <c r="AF139" s="26"/>
      <c r="AG139" s="26"/>
      <c r="AH139" s="26"/>
      <c r="AI139" s="26"/>
      <c r="AJ139" s="26"/>
      <c r="AK139" s="26"/>
      <c r="AL139" s="26"/>
      <c r="AM139" s="26"/>
      <c r="AN139" s="29"/>
    </row>
    <row r="140" spans="2:40" ht="16.5">
      <c r="B140" s="34"/>
      <c r="C140" s="143"/>
      <c r="D140" s="2" t="s">
        <v>224</v>
      </c>
      <c r="E140" s="2" t="s">
        <v>799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>
        <f>AC39/(O8+O10)*O17*1000</f>
        <v>1.7314238323034257</v>
      </c>
      <c r="V140" s="28"/>
      <c r="W140" s="32"/>
      <c r="X140" s="28">
        <f>SUM(F140:W140)</f>
        <v>1.7314238323034257</v>
      </c>
      <c r="Y140" s="230">
        <f t="shared" si="4"/>
        <v>-3.1730746482282921</v>
      </c>
      <c r="Z140" s="26"/>
      <c r="AA140" s="432">
        <v>2639</v>
      </c>
      <c r="AB140" t="s">
        <v>579</v>
      </c>
      <c r="AC140" s="418">
        <f t="shared" si="5"/>
        <v>1.8326388888888889</v>
      </c>
      <c r="AD140" s="75" t="s">
        <v>248</v>
      </c>
      <c r="AE140" s="26"/>
      <c r="AF140" s="26"/>
      <c r="AG140" s="26"/>
      <c r="AH140" s="26"/>
      <c r="AI140" s="26"/>
      <c r="AJ140" s="26"/>
      <c r="AK140" s="26"/>
      <c r="AL140" s="26"/>
      <c r="AM140" s="26"/>
      <c r="AN140" s="29"/>
    </row>
    <row r="141" spans="2:40" ht="16.5">
      <c r="B141" s="34"/>
      <c r="C141" s="143"/>
      <c r="D141" s="2" t="s">
        <v>588</v>
      </c>
      <c r="E141" s="2" t="s">
        <v>800</v>
      </c>
      <c r="F141" s="28"/>
      <c r="G141" s="28"/>
      <c r="H141" s="28"/>
      <c r="I141" s="28"/>
      <c r="J141" s="28">
        <f>AF17/(O8+O10)*O17*1000</f>
        <v>1.9797879106127096</v>
      </c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32"/>
      <c r="X141" s="28">
        <f t="shared" ref="X141:X144" si="6">SUM(F141:W141)</f>
        <v>1.9797879106127096</v>
      </c>
      <c r="Y141" s="230">
        <f t="shared" si="4"/>
        <v>-6.0589759181043139E-2</v>
      </c>
      <c r="Z141" s="26"/>
      <c r="AA141" s="415">
        <v>44.07</v>
      </c>
      <c r="AB141" s="26" t="s">
        <v>244</v>
      </c>
      <c r="AC141" s="418">
        <f t="shared" si="5"/>
        <v>3.0604166666666668E-2</v>
      </c>
      <c r="AD141" s="75" t="s">
        <v>248</v>
      </c>
      <c r="AE141" s="226" t="s">
        <v>582</v>
      </c>
      <c r="AF141" s="26" t="s">
        <v>84</v>
      </c>
      <c r="AG141" s="26"/>
      <c r="AH141" s="26"/>
      <c r="AI141" s="26"/>
      <c r="AJ141" s="26"/>
      <c r="AK141" s="26"/>
      <c r="AL141" s="26"/>
      <c r="AM141" s="26"/>
      <c r="AN141" s="29"/>
    </row>
    <row r="142" spans="2:40">
      <c r="B142" s="34"/>
      <c r="C142" s="143"/>
      <c r="D142" s="2" t="s">
        <v>416</v>
      </c>
      <c r="E142" s="2" t="s">
        <v>801</v>
      </c>
      <c r="F142" s="28"/>
      <c r="G142" s="28"/>
      <c r="H142" s="28"/>
      <c r="I142" s="28"/>
      <c r="J142" s="28">
        <f>AF18/(O8+O10)*O17*1000</f>
        <v>28.745060952813226</v>
      </c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32"/>
      <c r="X142" s="28">
        <f t="shared" si="6"/>
        <v>28.745060952813226</v>
      </c>
      <c r="Y142" s="230">
        <f>-X142*AC142</f>
        <v>-5.4895081680719695</v>
      </c>
      <c r="Z142" s="26"/>
      <c r="AA142" s="414">
        <v>275</v>
      </c>
      <c r="AB142" s="26" t="s">
        <v>244</v>
      </c>
      <c r="AC142" s="418">
        <f t="shared" si="5"/>
        <v>0.19097222222222221</v>
      </c>
      <c r="AD142" s="75" t="s">
        <v>248</v>
      </c>
      <c r="AE142" s="26"/>
      <c r="AF142" s="26"/>
      <c r="AG142" s="26"/>
      <c r="AH142" s="26"/>
      <c r="AI142" s="26"/>
      <c r="AJ142" s="26"/>
      <c r="AK142" s="26"/>
      <c r="AL142" s="26"/>
      <c r="AM142" s="26"/>
      <c r="AN142" s="29"/>
    </row>
    <row r="143" spans="2:40" ht="16.5">
      <c r="B143" s="34"/>
      <c r="C143" s="143"/>
      <c r="D143" s="2" t="s">
        <v>589</v>
      </c>
      <c r="E143" s="2" t="s">
        <v>800</v>
      </c>
      <c r="F143" s="28"/>
      <c r="G143" s="28"/>
      <c r="H143" s="28"/>
      <c r="I143" s="28"/>
      <c r="J143" s="28">
        <f>AF19/(O8+O10)*O17*1000</f>
        <v>0.54286072139961372</v>
      </c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32"/>
      <c r="X143" s="28">
        <f t="shared" si="6"/>
        <v>0.54286072139961372</v>
      </c>
      <c r="Y143" s="230">
        <f t="shared" ref="Y143:Y144" si="7">-X143*AC143</f>
        <v>-1.413699795311494</v>
      </c>
      <c r="Z143" s="26"/>
      <c r="AA143" s="414">
        <v>3750</v>
      </c>
      <c r="AB143" s="113" t="s">
        <v>574</v>
      </c>
      <c r="AC143" s="418">
        <f t="shared" si="5"/>
        <v>2.6041666666666665</v>
      </c>
      <c r="AD143" s="75" t="s">
        <v>248</v>
      </c>
      <c r="AE143" s="26"/>
      <c r="AF143" s="26"/>
      <c r="AG143" s="26"/>
      <c r="AH143" s="26"/>
      <c r="AI143" s="26"/>
      <c r="AJ143" s="26"/>
      <c r="AK143" s="26"/>
      <c r="AL143" s="26"/>
      <c r="AM143" s="26"/>
      <c r="AN143" s="29"/>
    </row>
    <row r="144" spans="2:40">
      <c r="B144" s="34"/>
      <c r="C144" s="74"/>
      <c r="D144" s="2" t="s">
        <v>614</v>
      </c>
      <c r="E144" s="26" t="s">
        <v>801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32">
        <f>(AO41/(O8+O10)*O17*1000)+(U80/(G31+G33)*G36*1000)</f>
        <v>5.7590759063616666E-2</v>
      </c>
      <c r="X144" s="28">
        <f t="shared" si="6"/>
        <v>5.7590759063616666E-2</v>
      </c>
      <c r="Y144" s="230">
        <f t="shared" si="7"/>
        <v>-8.0627062689063334E-2</v>
      </c>
      <c r="Z144" s="26"/>
      <c r="AA144" s="415"/>
      <c r="AB144" s="28"/>
      <c r="AC144" s="404">
        <v>1.4</v>
      </c>
      <c r="AD144" s="75" t="s">
        <v>248</v>
      </c>
      <c r="AE144" s="26" t="s">
        <v>606</v>
      </c>
      <c r="AF144" s="26"/>
      <c r="AG144" s="26"/>
      <c r="AH144" s="26"/>
      <c r="AI144" s="26"/>
      <c r="AJ144" s="26"/>
      <c r="AK144" s="26"/>
      <c r="AL144" s="26"/>
      <c r="AM144" s="26"/>
      <c r="AN144" s="29"/>
    </row>
    <row r="145" spans="2:40" ht="16.5">
      <c r="B145" s="34"/>
      <c r="C145" s="74"/>
      <c r="D145" s="2" t="s">
        <v>615</v>
      </c>
      <c r="E145" s="7" t="s">
        <v>801</v>
      </c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32">
        <f>(AO42/(O8+O10)*O17*1000)+(U81/(G31+G33)*G36*1000)</f>
        <v>4.3193069297712501E-2</v>
      </c>
      <c r="X145" s="28">
        <f>SUM(F145:W145)</f>
        <v>4.3193069297712501E-2</v>
      </c>
      <c r="Y145" s="230">
        <f>-X145*AC145</f>
        <v>-1.0366336631450999E-2</v>
      </c>
      <c r="Z145" s="26"/>
      <c r="AA145" s="414"/>
      <c r="AB145" s="225"/>
      <c r="AC145" s="418">
        <f>(0.18+0.3)/2</f>
        <v>0.24</v>
      </c>
      <c r="AD145" s="75" t="s">
        <v>248</v>
      </c>
      <c r="AE145" s="233" t="s">
        <v>610</v>
      </c>
      <c r="AF145" s="26" t="s">
        <v>84</v>
      </c>
      <c r="AG145" s="26"/>
      <c r="AH145" s="26"/>
      <c r="AI145" s="26"/>
      <c r="AJ145" s="26"/>
      <c r="AK145" s="26"/>
      <c r="AL145" s="26"/>
      <c r="AM145" s="26"/>
      <c r="AN145" s="29"/>
    </row>
    <row r="146" spans="2:40">
      <c r="B146" s="34"/>
      <c r="C146" s="143" t="s">
        <v>225</v>
      </c>
      <c r="D146" s="2" t="s">
        <v>226</v>
      </c>
      <c r="E146" s="2" t="s">
        <v>802</v>
      </c>
      <c r="F146" s="28"/>
      <c r="G146" s="28"/>
      <c r="H146" s="28"/>
      <c r="I146" s="28">
        <f>AF11/(C7+C10)*C9*1000</f>
        <v>8.5798475581963397E-3</v>
      </c>
      <c r="J146" s="28"/>
      <c r="K146" s="28">
        <f>U92/(G31+G33)*G37*1000</f>
        <v>2.6733262955758688E-2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32"/>
      <c r="X146" s="28">
        <f>SUM(F146:W146)</f>
        <v>3.5313110513955026E-2</v>
      </c>
      <c r="Y146" s="230">
        <f>-X146*AC146</f>
        <v>-2.6975292753715645</v>
      </c>
      <c r="Z146" s="26"/>
      <c r="AA146" s="414">
        <v>110000</v>
      </c>
      <c r="AB146" s="26" t="s">
        <v>245</v>
      </c>
      <c r="AC146" s="404">
        <f>AA146/$AC$102</f>
        <v>76.388888888888886</v>
      </c>
      <c r="AD146" s="75" t="s">
        <v>249</v>
      </c>
      <c r="AE146" s="26"/>
      <c r="AF146" s="26"/>
      <c r="AG146" s="26"/>
      <c r="AH146" s="26"/>
      <c r="AI146" s="26"/>
      <c r="AJ146" s="26"/>
      <c r="AK146" s="26"/>
      <c r="AL146" s="26"/>
      <c r="AM146" s="26"/>
      <c r="AN146" s="29"/>
    </row>
    <row r="147" spans="2:40">
      <c r="B147" s="34"/>
      <c r="C147" s="143"/>
      <c r="D147" s="2" t="s">
        <v>188</v>
      </c>
      <c r="E147" s="2" t="s">
        <v>802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32">
        <f>(AK42/(O8+O10)*O17*1000)+(U83/(G31+G33)*G36*1000)</f>
        <v>0.12411290017205345</v>
      </c>
      <c r="X147" s="28">
        <f>SUM(F147:W147)</f>
        <v>0.12411290017205345</v>
      </c>
      <c r="Y147" s="230">
        <f>-X147*AC147</f>
        <v>-9.4808465409207496</v>
      </c>
      <c r="Z147" s="26"/>
      <c r="AA147" s="415">
        <v>110000</v>
      </c>
      <c r="AB147" s="26" t="s">
        <v>245</v>
      </c>
      <c r="AC147" s="404">
        <f>AA147/$AC$102</f>
        <v>76.388888888888886</v>
      </c>
      <c r="AD147" s="75" t="s">
        <v>249</v>
      </c>
      <c r="AE147" s="26"/>
      <c r="AF147" s="26"/>
      <c r="AG147" s="26"/>
      <c r="AH147" s="26"/>
      <c r="AI147" s="26"/>
      <c r="AJ147" s="26"/>
      <c r="AK147" s="26"/>
      <c r="AL147" s="26"/>
      <c r="AM147" s="26"/>
      <c r="AN147" s="29"/>
    </row>
    <row r="148" spans="2:40">
      <c r="B148" s="34"/>
      <c r="C148" s="144"/>
      <c r="D148" s="145" t="s">
        <v>228</v>
      </c>
      <c r="E148" s="145" t="s">
        <v>798</v>
      </c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333">
        <f>(AK45/(O8+O10)*O17*1000)+(U87/(G31+G33)*G36*1000)</f>
        <v>1.1716791787593213</v>
      </c>
      <c r="X148" s="77">
        <f>SUM(F148:W148)</f>
        <v>1.1716791787593213</v>
      </c>
      <c r="Y148" s="231">
        <f>-X148*AC148</f>
        <v>-0.22619917478825785</v>
      </c>
      <c r="Z148" s="26"/>
      <c r="AA148" s="416">
        <v>278</v>
      </c>
      <c r="AB148" s="81" t="s">
        <v>243</v>
      </c>
      <c r="AC148" s="405">
        <f>AA148/$AC$102</f>
        <v>0.19305555555555556</v>
      </c>
      <c r="AD148" s="78" t="s">
        <v>249</v>
      </c>
      <c r="AE148" s="26"/>
      <c r="AF148" s="26"/>
      <c r="AG148" s="26"/>
      <c r="AH148" s="26"/>
      <c r="AI148" s="26"/>
      <c r="AJ148" s="26"/>
      <c r="AK148" s="26"/>
      <c r="AL148" s="26"/>
      <c r="AM148" s="26"/>
      <c r="AN148" s="29"/>
    </row>
    <row r="149" spans="2:40">
      <c r="B149" s="34"/>
      <c r="C149" s="26"/>
      <c r="D149" s="26"/>
      <c r="E149" s="26"/>
      <c r="F149" s="26"/>
      <c r="G149" s="28"/>
      <c r="H149" s="26"/>
      <c r="I149" s="26"/>
      <c r="J149" s="28"/>
      <c r="K149" s="26"/>
      <c r="L149" s="26"/>
      <c r="M149" s="26"/>
      <c r="N149" s="28"/>
      <c r="O149" s="26"/>
      <c r="P149" s="26"/>
      <c r="Q149" s="26"/>
      <c r="R149" s="26"/>
      <c r="S149" s="28"/>
      <c r="T149" s="26"/>
      <c r="U149" s="26"/>
      <c r="V149" s="27" t="s">
        <v>616</v>
      </c>
      <c r="W149" s="27" t="s">
        <v>104</v>
      </c>
      <c r="X149" s="27">
        <f>X136</f>
        <v>4624.682712686511</v>
      </c>
      <c r="Y149" s="27" t="s">
        <v>781</v>
      </c>
      <c r="Z149" s="26"/>
      <c r="AA149" s="28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9"/>
    </row>
    <row r="150" spans="2:40">
      <c r="B150" s="34"/>
      <c r="C150" s="26"/>
      <c r="D150" s="26"/>
      <c r="E150" s="26"/>
      <c r="F150" s="26"/>
      <c r="G150" s="28"/>
      <c r="H150" s="26"/>
      <c r="I150" s="26"/>
      <c r="J150" s="28"/>
      <c r="K150" s="26"/>
      <c r="L150" s="26"/>
      <c r="M150" s="26"/>
      <c r="N150" s="28"/>
      <c r="O150" s="26"/>
      <c r="P150" s="26"/>
      <c r="Q150" s="26"/>
      <c r="R150" s="26"/>
      <c r="S150" s="26"/>
      <c r="T150" s="26"/>
      <c r="U150" s="26"/>
      <c r="V150" s="27"/>
      <c r="W150" s="27"/>
      <c r="X150" s="6">
        <f>X149/1000</f>
        <v>4.6246827126865107</v>
      </c>
      <c r="Y150" s="27" t="s">
        <v>783</v>
      </c>
      <c r="Z150" s="26"/>
      <c r="AA150" s="28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9"/>
    </row>
    <row r="151" spans="2:40">
      <c r="B151" s="34"/>
      <c r="C151" s="26"/>
      <c r="D151" s="26"/>
      <c r="E151" s="26"/>
      <c r="F151" s="26"/>
      <c r="G151" s="28"/>
      <c r="H151" s="26"/>
      <c r="I151" s="26"/>
      <c r="J151" s="26"/>
      <c r="K151" s="28"/>
      <c r="L151" s="26"/>
      <c r="M151" s="26"/>
      <c r="N151" s="26"/>
      <c r="O151" s="28"/>
      <c r="P151" s="26"/>
      <c r="Q151" s="26"/>
      <c r="R151" s="26"/>
      <c r="S151" s="26"/>
      <c r="T151" s="28"/>
      <c r="U151" s="26"/>
      <c r="V151" s="27"/>
      <c r="W151" s="27" t="s">
        <v>194</v>
      </c>
      <c r="X151" s="27">
        <f>X137</f>
        <v>7841.010455703663</v>
      </c>
      <c r="Y151" s="27" t="s">
        <v>781</v>
      </c>
      <c r="Z151" s="26"/>
      <c r="AA151" s="26"/>
      <c r="AB151" s="28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9"/>
    </row>
    <row r="152" spans="2:40">
      <c r="B152" s="34"/>
      <c r="C152" s="26"/>
      <c r="D152" s="26"/>
      <c r="E152" s="26"/>
      <c r="F152" s="26"/>
      <c r="G152" s="28"/>
      <c r="H152" s="26"/>
      <c r="I152" s="26"/>
      <c r="J152" s="26"/>
      <c r="K152" s="28"/>
      <c r="L152" s="26"/>
      <c r="M152" s="26"/>
      <c r="N152" s="26"/>
      <c r="O152" s="28"/>
      <c r="P152" s="26"/>
      <c r="Q152" s="26"/>
      <c r="R152" s="26"/>
      <c r="S152" s="26"/>
      <c r="T152" s="28"/>
      <c r="U152" s="26"/>
      <c r="V152" s="27"/>
      <c r="W152" s="27"/>
      <c r="X152" s="6">
        <f>X151/1000</f>
        <v>7.8410104557036631</v>
      </c>
      <c r="Y152" s="27" t="s">
        <v>783</v>
      </c>
      <c r="Z152" s="26"/>
      <c r="AA152" s="26"/>
      <c r="AB152" s="28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9"/>
    </row>
    <row r="153" spans="2:40">
      <c r="B153" s="34"/>
      <c r="C153" s="26"/>
      <c r="D153" s="26"/>
      <c r="E153" s="26"/>
      <c r="F153" s="26"/>
      <c r="G153" s="28"/>
      <c r="H153" s="26"/>
      <c r="I153" s="26"/>
      <c r="J153" s="26"/>
      <c r="K153" s="28"/>
      <c r="L153" s="26"/>
      <c r="M153" s="26"/>
      <c r="N153" s="26"/>
      <c r="O153" s="28"/>
      <c r="P153" s="26"/>
      <c r="Q153" s="26"/>
      <c r="R153" s="26"/>
      <c r="S153" s="26"/>
      <c r="T153" s="28"/>
      <c r="U153" s="26"/>
      <c r="V153" s="27"/>
      <c r="W153" s="6" t="s">
        <v>732</v>
      </c>
      <c r="X153" s="27">
        <f>SUM(X149,X151)</f>
        <v>12465.693168390175</v>
      </c>
      <c r="Y153" s="27" t="s">
        <v>781</v>
      </c>
      <c r="Z153" s="26"/>
      <c r="AA153" s="26"/>
      <c r="AB153" s="28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9"/>
    </row>
    <row r="154" spans="2:40">
      <c r="B154" s="34"/>
      <c r="C154" s="26"/>
      <c r="D154" s="26"/>
      <c r="E154" s="28"/>
      <c r="F154" s="26"/>
      <c r="G154" s="28"/>
      <c r="H154" s="26"/>
      <c r="I154" s="26"/>
      <c r="J154" s="26"/>
      <c r="K154" s="28"/>
      <c r="L154" s="26"/>
      <c r="M154" s="26"/>
      <c r="N154" s="26"/>
      <c r="O154" s="28"/>
      <c r="P154" s="26"/>
      <c r="Q154" s="26"/>
      <c r="R154" s="26"/>
      <c r="S154" s="26"/>
      <c r="T154" s="28"/>
      <c r="U154" s="26"/>
      <c r="V154" s="27"/>
      <c r="W154" s="27"/>
      <c r="X154" s="6">
        <f>SUM(X150,X152)</f>
        <v>12.465693168390175</v>
      </c>
      <c r="Y154" s="27" t="s">
        <v>783</v>
      </c>
      <c r="Z154" s="26"/>
      <c r="AA154" s="26"/>
      <c r="AB154" s="28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9"/>
    </row>
    <row r="155" spans="2:40" ht="15.75" thickBot="1">
      <c r="B155" s="61"/>
      <c r="C155" s="62"/>
      <c r="D155" s="62"/>
      <c r="E155" s="63"/>
      <c r="F155" s="62"/>
      <c r="G155" s="63"/>
      <c r="H155" s="62"/>
      <c r="I155" s="62"/>
      <c r="J155" s="62"/>
      <c r="K155" s="63"/>
      <c r="L155" s="62"/>
      <c r="M155" s="62"/>
      <c r="N155" s="62"/>
      <c r="O155" s="63"/>
      <c r="P155" s="62"/>
      <c r="Q155" s="62"/>
      <c r="R155" s="62"/>
      <c r="S155" s="62"/>
      <c r="T155" s="63"/>
      <c r="U155" s="62"/>
      <c r="V155" s="241" t="s">
        <v>618</v>
      </c>
      <c r="W155" s="241"/>
      <c r="X155" s="241">
        <f>SUM(Y136:Y148)</f>
        <v>70.934564081006911</v>
      </c>
      <c r="Y155" s="241" t="s">
        <v>789</v>
      </c>
      <c r="Z155" s="62"/>
      <c r="AA155" s="62"/>
      <c r="AB155" s="63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4"/>
    </row>
    <row r="158" spans="2:40" ht="15.75" thickBot="1">
      <c r="B158" s="4" t="s">
        <v>777</v>
      </c>
    </row>
    <row r="159" spans="2:40">
      <c r="B159" s="68"/>
      <c r="C159" s="21"/>
      <c r="D159" s="19"/>
      <c r="E159" s="19"/>
      <c r="F159" s="19"/>
      <c r="G159" s="21"/>
      <c r="H159" s="19"/>
      <c r="I159" s="19"/>
      <c r="J159" s="19"/>
      <c r="K159" s="21"/>
      <c r="L159" s="19"/>
      <c r="M159" s="19"/>
      <c r="N159" s="19"/>
      <c r="O159" s="19"/>
      <c r="P159" s="21"/>
      <c r="Q159" s="19"/>
      <c r="R159" s="19"/>
      <c r="S159" s="19"/>
      <c r="T159" s="21"/>
      <c r="U159" s="19"/>
      <c r="V159" s="19"/>
      <c r="W159" s="19"/>
      <c r="X159" s="21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22"/>
    </row>
    <row r="160" spans="2:40">
      <c r="B160" s="34"/>
      <c r="C160" s="118" t="s">
        <v>191</v>
      </c>
      <c r="D160" s="26"/>
      <c r="E160" s="26"/>
      <c r="F160" s="26"/>
      <c r="G160" s="26"/>
      <c r="H160" s="26"/>
      <c r="I160" s="26"/>
      <c r="J160" s="26"/>
      <c r="K160" s="28"/>
      <c r="L160" s="26"/>
      <c r="M160" s="26"/>
      <c r="N160" s="26"/>
      <c r="O160" s="28"/>
      <c r="P160" s="26"/>
      <c r="Q160" s="26"/>
      <c r="R160" s="26"/>
      <c r="S160" s="26"/>
      <c r="T160" s="26"/>
      <c r="U160" s="26"/>
      <c r="V160" s="26"/>
      <c r="W160" s="28"/>
      <c r="X160" s="26"/>
      <c r="Y160" s="26"/>
      <c r="Z160" s="26"/>
      <c r="AA160" s="290" t="s">
        <v>212</v>
      </c>
      <c r="AB160" s="291"/>
      <c r="AC160" s="420">
        <v>1440</v>
      </c>
      <c r="AD160" s="293" t="s">
        <v>575</v>
      </c>
      <c r="AE160" s="26"/>
      <c r="AF160" s="26"/>
      <c r="AG160" s="26"/>
      <c r="AH160" s="26"/>
      <c r="AI160" s="26"/>
      <c r="AJ160" s="26"/>
      <c r="AK160" s="26"/>
      <c r="AL160" s="26"/>
      <c r="AM160" s="26"/>
      <c r="AN160" s="29"/>
    </row>
    <row r="161" spans="2:40">
      <c r="B161" s="34"/>
      <c r="C161" s="115"/>
      <c r="D161" s="114"/>
      <c r="E161" s="114"/>
      <c r="F161" s="140" t="s">
        <v>231</v>
      </c>
      <c r="G161" s="140"/>
      <c r="H161" s="140"/>
      <c r="I161" s="140"/>
      <c r="J161" s="140"/>
      <c r="K161" s="140" t="s">
        <v>586</v>
      </c>
      <c r="L161" s="140"/>
      <c r="M161" s="140"/>
      <c r="N161" s="140"/>
      <c r="O161" s="140"/>
      <c r="P161" s="140"/>
      <c r="Q161" s="140" t="s">
        <v>587</v>
      </c>
      <c r="R161" s="140"/>
      <c r="S161" s="140"/>
      <c r="T161" s="140"/>
      <c r="U161" s="140"/>
      <c r="V161" s="140"/>
      <c r="W161" s="140" t="s">
        <v>213</v>
      </c>
      <c r="X161" s="140" t="s">
        <v>234</v>
      </c>
      <c r="Y161" s="116" t="s">
        <v>242</v>
      </c>
      <c r="Z161" s="26"/>
      <c r="AA161" s="295" t="s">
        <v>656</v>
      </c>
      <c r="AB161" s="79"/>
      <c r="AC161" s="79"/>
      <c r="AD161" s="71"/>
      <c r="AE161" s="26"/>
      <c r="AF161" s="26"/>
      <c r="AG161" s="26"/>
      <c r="AH161" s="26"/>
      <c r="AI161" s="26"/>
      <c r="AJ161" s="26"/>
      <c r="AK161" s="26"/>
      <c r="AL161" s="26"/>
      <c r="AM161" s="26"/>
      <c r="AN161" s="29"/>
    </row>
    <row r="162" spans="2:40" ht="15.75" thickBot="1">
      <c r="B162" s="34"/>
      <c r="C162" s="141"/>
      <c r="D162" s="142"/>
      <c r="E162" s="142" t="s">
        <v>219</v>
      </c>
      <c r="F162" s="142" t="s">
        <v>239</v>
      </c>
      <c r="G162" s="142" t="s">
        <v>240</v>
      </c>
      <c r="H162" s="142" t="s">
        <v>583</v>
      </c>
      <c r="I162" s="142" t="s">
        <v>584</v>
      </c>
      <c r="J162" s="142" t="s">
        <v>585</v>
      </c>
      <c r="K162" s="142" t="s">
        <v>236</v>
      </c>
      <c r="L162" s="142" t="s">
        <v>237</v>
      </c>
      <c r="M162" s="142" t="s">
        <v>197</v>
      </c>
      <c r="N162" s="142" t="s">
        <v>257</v>
      </c>
      <c r="O162" s="142" t="s">
        <v>238</v>
      </c>
      <c r="P162" s="142" t="s">
        <v>115</v>
      </c>
      <c r="Q162" s="142" t="s">
        <v>236</v>
      </c>
      <c r="R162" s="142" t="s">
        <v>237</v>
      </c>
      <c r="S162" s="142" t="s">
        <v>197</v>
      </c>
      <c r="T162" s="142" t="s">
        <v>257</v>
      </c>
      <c r="U162" s="142" t="s">
        <v>238</v>
      </c>
      <c r="V162" s="142" t="s">
        <v>115</v>
      </c>
      <c r="W162" s="142" t="s">
        <v>239</v>
      </c>
      <c r="X162" s="142"/>
      <c r="Y162" s="117"/>
      <c r="Z162" s="26"/>
      <c r="AA162" s="296" t="s">
        <v>241</v>
      </c>
      <c r="AB162" s="294" t="s">
        <v>219</v>
      </c>
      <c r="AC162" s="417" t="s">
        <v>241</v>
      </c>
      <c r="AD162" s="297" t="s">
        <v>219</v>
      </c>
      <c r="AE162" s="26"/>
      <c r="AF162" s="26"/>
      <c r="AG162" s="26"/>
      <c r="AH162" s="26"/>
      <c r="AI162" s="26"/>
      <c r="AJ162" s="26"/>
      <c r="AK162" s="26"/>
      <c r="AL162" s="26"/>
      <c r="AM162" s="26"/>
      <c r="AN162" s="29"/>
    </row>
    <row r="163" spans="2:40" ht="17.25" thickTop="1">
      <c r="B163" s="34"/>
      <c r="C163" s="143" t="s">
        <v>220</v>
      </c>
      <c r="D163" s="2" t="s">
        <v>104</v>
      </c>
      <c r="E163" s="2" t="s">
        <v>781</v>
      </c>
      <c r="F163" s="28">
        <f>-G16/(C7+C10)*C12*1000</f>
        <v>-2.1090583897121737</v>
      </c>
      <c r="G163" s="28">
        <f>-SUM(K18:K19)/(C7+C10)*C12*1000</f>
        <v>-26.189148861457671</v>
      </c>
      <c r="H163" s="28">
        <f>-Y19/(C7+C10)*C12*1000</f>
        <v>-148.43320117513818</v>
      </c>
      <c r="I163" s="28">
        <f>-AC17/(C7+C10)*C12*1000</f>
        <v>-139.82759960057962</v>
      </c>
      <c r="J163" s="28">
        <f>-AJ7/(O8+O10)*O16*1000</f>
        <v>-8.9560195141363412E-5</v>
      </c>
      <c r="K163" s="28"/>
      <c r="L163" s="28"/>
      <c r="M163" s="28">
        <f>-Q61/(G31+G33)*G36*1000</f>
        <v>-3.063502256286681E-2</v>
      </c>
      <c r="N163" s="28"/>
      <c r="O163" s="28">
        <f>-M85/(G31+G33)*G36*1000</f>
        <v>-0.29907543281923582</v>
      </c>
      <c r="P163" s="28">
        <f>Q78/(G31+G33)*G36*1000</f>
        <v>105.30380732282696</v>
      </c>
      <c r="Q163" s="28"/>
      <c r="R163" s="28"/>
      <c r="S163" s="28">
        <f>-AG27/(O8+O10)*O16*1000</f>
        <v>-2.7942780884105387E-4</v>
      </c>
      <c r="T163" s="28"/>
      <c r="U163" s="28"/>
      <c r="V163" s="28"/>
      <c r="W163" s="32">
        <f>(-AK43/(O8+O10)*O16*1000)+(-U84/(G31+G33)*G37*1000)</f>
        <v>-8.5863033843877226</v>
      </c>
      <c r="X163" s="28">
        <f>SUM(F163:W163)</f>
        <v>-220.1715835318345</v>
      </c>
      <c r="Y163" s="230">
        <f>X163/3.6*AC163*(O25/100)</f>
        <v>-4.4594938794063701</v>
      </c>
      <c r="Z163" s="26"/>
      <c r="AA163" s="414">
        <v>105</v>
      </c>
      <c r="AB163" s="26" t="s">
        <v>338</v>
      </c>
      <c r="AC163" s="418">
        <f>AA163/$AC$102</f>
        <v>7.2916666666666671E-2</v>
      </c>
      <c r="AD163" s="75" t="s">
        <v>246</v>
      </c>
      <c r="AE163" s="26"/>
      <c r="AF163" s="26"/>
      <c r="AG163" s="26"/>
      <c r="AH163" s="26"/>
      <c r="AI163" s="26"/>
      <c r="AJ163" s="26"/>
      <c r="AK163" s="26"/>
      <c r="AL163" s="26"/>
      <c r="AM163" s="26"/>
      <c r="AN163" s="29"/>
    </row>
    <row r="164" spans="2:40">
      <c r="B164" s="34"/>
      <c r="C164" s="143"/>
      <c r="D164" s="2" t="s">
        <v>194</v>
      </c>
      <c r="E164" s="2" t="s">
        <v>781</v>
      </c>
      <c r="F164" s="28"/>
      <c r="G164" s="28"/>
      <c r="H164" s="28"/>
      <c r="I164" s="28"/>
      <c r="J164" s="28"/>
      <c r="K164" s="28">
        <f>-M62/(G31+G33)*G36*1000</f>
        <v>-0.25744086098654245</v>
      </c>
      <c r="L164" s="28">
        <f>-I64/(G31+G33)*G36*1000</f>
        <v>-6.4234479197107772E-2</v>
      </c>
      <c r="M164" s="28"/>
      <c r="N164" s="28"/>
      <c r="O164" s="28"/>
      <c r="P164" s="28">
        <f>Q80/(G31+G33)*G36*1000</f>
        <v>175.50634553804491</v>
      </c>
      <c r="Q164" s="28"/>
      <c r="R164" s="28">
        <f>-Y30/(O8+O10)*O16*1000</f>
        <v>-1.3657579648618174E-3</v>
      </c>
      <c r="S164" s="28"/>
      <c r="T164" s="28"/>
      <c r="U164" s="28"/>
      <c r="V164" s="28"/>
      <c r="W164" s="32"/>
      <c r="X164" s="28">
        <f>SUM(F164:W164)</f>
        <v>175.1833044398964</v>
      </c>
      <c r="Y164" s="230">
        <v>0</v>
      </c>
      <c r="Z164" s="26"/>
      <c r="AA164" s="414"/>
      <c r="AB164" s="26"/>
      <c r="AC164" s="418"/>
      <c r="AD164" s="75"/>
      <c r="AE164" s="26"/>
      <c r="AF164" s="26"/>
      <c r="AG164" s="26"/>
      <c r="AH164" s="26"/>
      <c r="AI164" s="26"/>
      <c r="AJ164" s="26"/>
      <c r="AK164" s="26"/>
      <c r="AL164" s="26"/>
      <c r="AM164" s="26"/>
      <c r="AN164" s="29"/>
    </row>
    <row r="165" spans="2:40">
      <c r="B165" s="34"/>
      <c r="C165" s="143" t="s">
        <v>221</v>
      </c>
      <c r="D165" s="2" t="s">
        <v>25</v>
      </c>
      <c r="E165" s="2" t="s">
        <v>798</v>
      </c>
      <c r="F165" s="28">
        <f>G10/1000/(C7+C10)*C12*1000</f>
        <v>0.16913643971972719</v>
      </c>
      <c r="G165" s="28">
        <f>K13/1000/(C7+C10)*C12*1000</f>
        <v>0.17238512613646451</v>
      </c>
      <c r="H165" s="28"/>
      <c r="I165" s="28"/>
      <c r="J165" s="28"/>
      <c r="K165" s="28"/>
      <c r="L165" s="6"/>
      <c r="M165" s="28"/>
      <c r="N165" s="28">
        <f>-H75/(G31+G33)*G36*1000</f>
        <v>-4.7481086738597553E-4</v>
      </c>
      <c r="O165" s="28"/>
      <c r="P165" s="28"/>
      <c r="Q165" s="28"/>
      <c r="R165" s="6"/>
      <c r="S165" s="28"/>
      <c r="T165" s="28"/>
      <c r="U165" s="28"/>
      <c r="V165" s="28"/>
      <c r="W165" s="32"/>
      <c r="X165" s="28">
        <f>SUM(F165:W165)</f>
        <v>0.34104675498880571</v>
      </c>
      <c r="Y165" s="230">
        <f t="shared" ref="Y165:Y168" si="8">-X165*AC165</f>
        <v>-0.17028653947010508</v>
      </c>
      <c r="Z165" s="26"/>
      <c r="AA165" s="414">
        <v>719</v>
      </c>
      <c r="AB165" s="26" t="s">
        <v>243</v>
      </c>
      <c r="AC165" s="418">
        <f t="shared" ref="AC165:AC170" si="9">AA165/$AC$102</f>
        <v>0.49930555555555556</v>
      </c>
      <c r="AD165" s="75" t="s">
        <v>247</v>
      </c>
      <c r="AE165" s="26"/>
      <c r="AF165" s="26"/>
      <c r="AG165" s="26"/>
      <c r="AH165" s="26"/>
      <c r="AI165" s="26"/>
      <c r="AJ165" s="26"/>
      <c r="AK165" s="26"/>
      <c r="AL165" s="26"/>
      <c r="AM165" s="26"/>
      <c r="AN165" s="29"/>
    </row>
    <row r="166" spans="2:40" ht="16.5">
      <c r="B166" s="34"/>
      <c r="C166" s="143"/>
      <c r="D166" s="2" t="s">
        <v>222</v>
      </c>
      <c r="E166" s="2" t="s">
        <v>799</v>
      </c>
      <c r="F166" s="28">
        <f>K14/(C7+C10)*C12*1000</f>
        <v>0.43096281534116126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32"/>
      <c r="X166" s="28">
        <f>SUM(F166:W166)</f>
        <v>0.43096281534116126</v>
      </c>
      <c r="Y166" s="230">
        <f t="shared" si="8"/>
        <v>-0.17557744328713976</v>
      </c>
      <c r="Z166" s="26"/>
      <c r="AA166" s="414">
        <f>11000/18.75</f>
        <v>586.66666666666663</v>
      </c>
      <c r="AB166" s="113" t="s">
        <v>574</v>
      </c>
      <c r="AC166" s="418">
        <f t="shared" si="9"/>
        <v>0.40740740740740738</v>
      </c>
      <c r="AD166" s="75" t="s">
        <v>580</v>
      </c>
      <c r="AE166" s="26"/>
      <c r="AF166" s="26"/>
      <c r="AG166" s="26"/>
      <c r="AH166" s="26"/>
      <c r="AI166" s="26"/>
      <c r="AJ166" s="26"/>
      <c r="AK166" s="26"/>
      <c r="AL166" s="26"/>
      <c r="AM166" s="26"/>
      <c r="AN166" s="29"/>
    </row>
    <row r="167" spans="2:40" ht="16.5">
      <c r="B167" s="34"/>
      <c r="C167" s="143"/>
      <c r="D167" s="2" t="s">
        <v>224</v>
      </c>
      <c r="E167" s="2" t="s">
        <v>799</v>
      </c>
      <c r="F167" s="28"/>
      <c r="G167" s="28"/>
      <c r="H167" s="28"/>
      <c r="I167" s="28"/>
      <c r="J167" s="28"/>
      <c r="K167" s="28"/>
      <c r="L167" s="28"/>
      <c r="M167" s="28"/>
      <c r="N167" s="28"/>
      <c r="O167" s="28">
        <f>M76/(G31+G33)*G36*1000</f>
        <v>3.8691962753399776E-2</v>
      </c>
      <c r="P167" s="28"/>
      <c r="Q167" s="28"/>
      <c r="R167" s="28"/>
      <c r="S167" s="28"/>
      <c r="T167" s="28"/>
      <c r="U167" s="28"/>
      <c r="V167" s="28"/>
      <c r="W167" s="32"/>
      <c r="X167" s="28">
        <f>SUM(F167:W167)</f>
        <v>3.8691962753399776E-2</v>
      </c>
      <c r="Y167" s="230">
        <f t="shared" si="8"/>
        <v>-7.0908395629320844E-2</v>
      </c>
      <c r="Z167" s="26"/>
      <c r="AA167" s="432">
        <v>2639</v>
      </c>
      <c r="AB167" t="s">
        <v>579</v>
      </c>
      <c r="AC167" s="418">
        <f t="shared" si="9"/>
        <v>1.8326388888888889</v>
      </c>
      <c r="AD167" s="75" t="s">
        <v>248</v>
      </c>
      <c r="AE167" s="26"/>
      <c r="AF167" s="26"/>
      <c r="AG167" s="26"/>
      <c r="AH167" s="26"/>
      <c r="AI167" s="26"/>
      <c r="AJ167" s="26"/>
      <c r="AK167" s="26"/>
      <c r="AL167" s="26"/>
      <c r="AM167" s="26"/>
      <c r="AN167" s="29"/>
    </row>
    <row r="168" spans="2:40" ht="16.5">
      <c r="B168" s="34"/>
      <c r="C168" s="143"/>
      <c r="D168" s="2" t="s">
        <v>588</v>
      </c>
      <c r="E168" s="2" t="s">
        <v>800</v>
      </c>
      <c r="F168" s="28"/>
      <c r="G168" s="28"/>
      <c r="H168" s="28"/>
      <c r="I168" s="28"/>
      <c r="J168" s="28">
        <f>AF17/(O8+O10)*O16*1000</f>
        <v>2.0331267520443236E-3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32"/>
      <c r="X168" s="28">
        <f t="shared" ref="X168:X171" si="10">SUM(F168:W168)</f>
        <v>2.0331267520443236E-3</v>
      </c>
      <c r="Y168" s="230">
        <f t="shared" si="8"/>
        <v>-6.2222149974023151E-5</v>
      </c>
      <c r="Z168" s="26"/>
      <c r="AA168" s="415">
        <v>44.07</v>
      </c>
      <c r="AB168" s="26" t="s">
        <v>244</v>
      </c>
      <c r="AC168" s="418">
        <f t="shared" si="9"/>
        <v>3.0604166666666668E-2</v>
      </c>
      <c r="AD168" s="75" t="s">
        <v>248</v>
      </c>
      <c r="AE168" s="226" t="s">
        <v>582</v>
      </c>
      <c r="AF168" s="26" t="s">
        <v>84</v>
      </c>
      <c r="AG168" s="26"/>
      <c r="AH168" s="26"/>
      <c r="AI168" s="26"/>
      <c r="AJ168" s="26"/>
      <c r="AK168" s="26"/>
      <c r="AL168" s="26"/>
      <c r="AM168" s="26"/>
      <c r="AN168" s="29"/>
    </row>
    <row r="169" spans="2:40">
      <c r="B169" s="34"/>
      <c r="C169" s="143"/>
      <c r="D169" s="2" t="s">
        <v>416</v>
      </c>
      <c r="E169" s="2" t="s">
        <v>801</v>
      </c>
      <c r="F169" s="28"/>
      <c r="G169" s="28"/>
      <c r="H169" s="28"/>
      <c r="I169" s="28"/>
      <c r="J169" s="28">
        <f>AF18/(O8+O10)*O16*1000</f>
        <v>2.9519501608746758E-2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32"/>
      <c r="X169" s="28">
        <f t="shared" si="10"/>
        <v>2.9519501608746758E-2</v>
      </c>
      <c r="Y169" s="230">
        <f>-X169*AC169</f>
        <v>-5.6374048211148319E-3</v>
      </c>
      <c r="Z169" s="26"/>
      <c r="AA169" s="414">
        <v>275</v>
      </c>
      <c r="AB169" s="26" t="s">
        <v>244</v>
      </c>
      <c r="AC169" s="418">
        <f t="shared" si="9"/>
        <v>0.19097222222222221</v>
      </c>
      <c r="AD169" s="75" t="s">
        <v>248</v>
      </c>
      <c r="AE169" s="26"/>
      <c r="AF169" s="26"/>
      <c r="AG169" s="26"/>
      <c r="AH169" s="26"/>
      <c r="AI169" s="26"/>
      <c r="AJ169" s="26"/>
      <c r="AK169" s="26"/>
      <c r="AL169" s="26"/>
      <c r="AM169" s="26"/>
      <c r="AN169" s="29"/>
    </row>
    <row r="170" spans="2:40" ht="16.5">
      <c r="B170" s="34"/>
      <c r="C170" s="143"/>
      <c r="D170" s="2" t="s">
        <v>589</v>
      </c>
      <c r="E170" s="2" t="s">
        <v>800</v>
      </c>
      <c r="F170" s="28"/>
      <c r="G170" s="28"/>
      <c r="H170" s="28"/>
      <c r="I170" s="28"/>
      <c r="J170" s="28">
        <f>AF19/(O8+O10)*O16*1000</f>
        <v>5.5748630921281762E-4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32"/>
      <c r="X170" s="28">
        <f t="shared" si="10"/>
        <v>5.5748630921281762E-4</v>
      </c>
      <c r="Y170" s="230">
        <f t="shared" ref="Y170:Y171" si="11">-X170*AC170</f>
        <v>-1.4517872635750459E-3</v>
      </c>
      <c r="Z170" s="26"/>
      <c r="AA170" s="414">
        <v>3750</v>
      </c>
      <c r="AB170" s="113" t="s">
        <v>574</v>
      </c>
      <c r="AC170" s="418">
        <f t="shared" si="9"/>
        <v>2.6041666666666665</v>
      </c>
      <c r="AD170" s="75" t="s">
        <v>248</v>
      </c>
      <c r="AE170" s="26"/>
      <c r="AF170" s="26"/>
      <c r="AG170" s="26"/>
      <c r="AH170" s="26"/>
      <c r="AI170" s="26"/>
      <c r="AJ170" s="26"/>
      <c r="AK170" s="26"/>
      <c r="AL170" s="26"/>
      <c r="AM170" s="26"/>
      <c r="AN170" s="29"/>
    </row>
    <row r="171" spans="2:40">
      <c r="B171" s="34"/>
      <c r="C171" s="74"/>
      <c r="D171" s="2" t="s">
        <v>614</v>
      </c>
      <c r="E171" s="26" t="s">
        <v>801</v>
      </c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32">
        <f>(AO41/(O8+O10)*O16*1000)+(U80/(G31+G33)*G37*1000)</f>
        <v>7.4478255035630325E-2</v>
      </c>
      <c r="X171" s="28">
        <f t="shared" si="10"/>
        <v>7.4478255035630325E-2</v>
      </c>
      <c r="Y171" s="230">
        <f t="shared" si="11"/>
        <v>-0.10426955704988244</v>
      </c>
      <c r="Z171" s="26"/>
      <c r="AA171" s="415"/>
      <c r="AB171" s="28"/>
      <c r="AC171" s="404">
        <v>1.4</v>
      </c>
      <c r="AD171" s="75" t="s">
        <v>248</v>
      </c>
      <c r="AE171" s="26" t="s">
        <v>606</v>
      </c>
      <c r="AF171" s="26"/>
      <c r="AG171" s="26"/>
      <c r="AH171" s="26"/>
      <c r="AI171" s="26"/>
      <c r="AJ171" s="26"/>
      <c r="AK171" s="26"/>
      <c r="AL171" s="26"/>
      <c r="AM171" s="26"/>
      <c r="AN171" s="29"/>
    </row>
    <row r="172" spans="2:40" ht="16.5">
      <c r="B172" s="34"/>
      <c r="C172" s="74"/>
      <c r="D172" s="2" t="s">
        <v>615</v>
      </c>
      <c r="E172" s="7" t="s">
        <v>801</v>
      </c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32">
        <f>(AO42/(O8+O10)*O16*1000)+(U81/(G31+G33)*G37*1000)</f>
        <v>5.5858691276722737E-2</v>
      </c>
      <c r="X172" s="28">
        <f>SUM(F172:W172)</f>
        <v>5.5858691276722737E-2</v>
      </c>
      <c r="Y172" s="230">
        <f>-X172*AC172</f>
        <v>-1.3406085906413456E-2</v>
      </c>
      <c r="Z172" s="26"/>
      <c r="AA172" s="414"/>
      <c r="AB172" s="225"/>
      <c r="AC172" s="418">
        <f>(0.18+0.3)/2</f>
        <v>0.24</v>
      </c>
      <c r="AD172" s="75" t="s">
        <v>248</v>
      </c>
      <c r="AE172" s="233" t="s">
        <v>610</v>
      </c>
      <c r="AF172" s="26" t="s">
        <v>84</v>
      </c>
      <c r="AG172" s="26"/>
      <c r="AH172" s="26"/>
      <c r="AI172" s="26"/>
      <c r="AJ172" s="26"/>
      <c r="AK172" s="26"/>
      <c r="AL172" s="26"/>
      <c r="AM172" s="26"/>
      <c r="AN172" s="29"/>
    </row>
    <row r="173" spans="2:40">
      <c r="B173" s="34"/>
      <c r="C173" s="143" t="s">
        <v>225</v>
      </c>
      <c r="D173" s="2" t="s">
        <v>226</v>
      </c>
      <c r="E173" s="2" t="s">
        <v>802</v>
      </c>
      <c r="F173" s="28"/>
      <c r="G173" s="28"/>
      <c r="H173" s="28"/>
      <c r="I173" s="28">
        <f>AF11/(C7+C10)*C12*1000</f>
        <v>2.5857768920469672E-2</v>
      </c>
      <c r="J173" s="28"/>
      <c r="K173" s="28">
        <f>U92/(G31+G33)*G36*10003</f>
        <v>7.5586646517657808E-3</v>
      </c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32"/>
      <c r="X173" s="28">
        <f>SUM(F173:W173)</f>
        <v>3.3416433572235456E-2</v>
      </c>
      <c r="Y173" s="230">
        <f>-X173*AC173</f>
        <v>-2.5526442312124304</v>
      </c>
      <c r="Z173" s="26"/>
      <c r="AA173" s="414">
        <v>110000</v>
      </c>
      <c r="AB173" s="26" t="s">
        <v>245</v>
      </c>
      <c r="AC173" s="404">
        <f>AA173/$AC$102</f>
        <v>76.388888888888886</v>
      </c>
      <c r="AD173" s="75" t="s">
        <v>249</v>
      </c>
      <c r="AE173" s="26"/>
      <c r="AF173" s="26"/>
      <c r="AG173" s="26"/>
      <c r="AH173" s="26"/>
      <c r="AI173" s="26"/>
      <c r="AJ173" s="26"/>
      <c r="AK173" s="26"/>
      <c r="AL173" s="26"/>
      <c r="AM173" s="26"/>
      <c r="AN173" s="29"/>
    </row>
    <row r="174" spans="2:40">
      <c r="B174" s="34"/>
      <c r="C174" s="143"/>
      <c r="D174" s="2" t="s">
        <v>188</v>
      </c>
      <c r="E174" s="2" t="s">
        <v>802</v>
      </c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32">
        <f>(AK42/(O8+O10)*O16*1000)+(U83/(G31+G33)*G37*1000)</f>
        <v>1.0441903981110807</v>
      </c>
      <c r="X174" s="28">
        <f>SUM(F174:W174)</f>
        <v>1.0441903981110807</v>
      </c>
      <c r="Y174" s="230">
        <f>-X174*AC174</f>
        <v>-79.764544300151996</v>
      </c>
      <c r="Z174" s="26"/>
      <c r="AA174" s="415">
        <v>110000</v>
      </c>
      <c r="AB174" s="26" t="s">
        <v>245</v>
      </c>
      <c r="AC174" s="404">
        <f>AA174/$AC$102</f>
        <v>76.388888888888886</v>
      </c>
      <c r="AD174" s="75" t="s">
        <v>249</v>
      </c>
      <c r="AE174" s="26"/>
      <c r="AF174" s="26"/>
      <c r="AG174" s="26"/>
      <c r="AH174" s="26"/>
      <c r="AI174" s="26"/>
      <c r="AJ174" s="26"/>
      <c r="AK174" s="26"/>
      <c r="AL174" s="26"/>
      <c r="AM174" s="26"/>
      <c r="AN174" s="29"/>
    </row>
    <row r="175" spans="2:40">
      <c r="B175" s="34"/>
      <c r="C175" s="144"/>
      <c r="D175" s="145" t="s">
        <v>228</v>
      </c>
      <c r="E175" s="145" t="s">
        <v>798</v>
      </c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333">
        <f>(AK45/(O8+O10)*O16*1000)+(U87/(G31+G33)*G37*1000)</f>
        <v>0.63157034019060165</v>
      </c>
      <c r="X175" s="77">
        <f>SUM(F175:W175)</f>
        <v>0.63157034019060165</v>
      </c>
      <c r="Y175" s="231">
        <f>-X175*AC175</f>
        <v>-0.12192816289790782</v>
      </c>
      <c r="Z175" s="26"/>
      <c r="AA175" s="416">
        <v>278</v>
      </c>
      <c r="AB175" s="81" t="s">
        <v>243</v>
      </c>
      <c r="AC175" s="405">
        <f>AA175/$AC$102</f>
        <v>0.19305555555555556</v>
      </c>
      <c r="AD175" s="78" t="s">
        <v>249</v>
      </c>
      <c r="AE175" s="26"/>
      <c r="AF175" s="26"/>
      <c r="AG175" s="26"/>
      <c r="AH175" s="26"/>
      <c r="AI175" s="26"/>
      <c r="AJ175" s="26"/>
      <c r="AK175" s="26"/>
      <c r="AL175" s="26"/>
      <c r="AM175" s="26"/>
      <c r="AN175" s="29"/>
    </row>
    <row r="176" spans="2:40">
      <c r="B176" s="34"/>
      <c r="C176" s="26"/>
      <c r="D176" s="26"/>
      <c r="E176" s="26"/>
      <c r="F176" s="26"/>
      <c r="G176" s="28"/>
      <c r="H176" s="26"/>
      <c r="I176" s="26"/>
      <c r="J176" s="28"/>
      <c r="K176" s="26"/>
      <c r="L176" s="26"/>
      <c r="M176" s="26"/>
      <c r="N176" s="28"/>
      <c r="O176" s="26"/>
      <c r="P176" s="26"/>
      <c r="Q176" s="26"/>
      <c r="R176" s="26"/>
      <c r="S176" s="28"/>
      <c r="T176" s="26"/>
      <c r="U176" s="26"/>
      <c r="V176" s="27" t="s">
        <v>616</v>
      </c>
      <c r="W176" s="27" t="s">
        <v>104</v>
      </c>
      <c r="X176" s="27">
        <f>X163</f>
        <v>-220.1715835318345</v>
      </c>
      <c r="Y176" s="27" t="s">
        <v>781</v>
      </c>
      <c r="Z176" s="26"/>
      <c r="AA176" s="28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9"/>
    </row>
    <row r="177" spans="2:40">
      <c r="B177" s="34"/>
      <c r="C177" s="26"/>
      <c r="D177" s="26"/>
      <c r="E177" s="26"/>
      <c r="F177" s="26"/>
      <c r="G177" s="28"/>
      <c r="H177" s="26"/>
      <c r="I177" s="26"/>
      <c r="J177" s="28"/>
      <c r="K177" s="26"/>
      <c r="L177" s="26"/>
      <c r="M177" s="26"/>
      <c r="N177" s="28"/>
      <c r="O177" s="26"/>
      <c r="P177" s="26"/>
      <c r="Q177" s="26"/>
      <c r="R177" s="26"/>
      <c r="S177" s="26"/>
      <c r="T177" s="26"/>
      <c r="U177" s="26"/>
      <c r="V177" s="27"/>
      <c r="W177" s="27"/>
      <c r="X177" s="6">
        <f>X176/1000</f>
        <v>-0.2201715835318345</v>
      </c>
      <c r="Y177" s="27" t="s">
        <v>783</v>
      </c>
      <c r="Z177" s="26"/>
      <c r="AA177" s="28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9"/>
    </row>
    <row r="178" spans="2:40">
      <c r="B178" s="34"/>
      <c r="C178" s="26"/>
      <c r="D178" s="26"/>
      <c r="E178" s="26"/>
      <c r="F178" s="26"/>
      <c r="G178" s="28"/>
      <c r="H178" s="26"/>
      <c r="I178" s="26"/>
      <c r="J178" s="26"/>
      <c r="K178" s="28"/>
      <c r="L178" s="26"/>
      <c r="M178" s="26"/>
      <c r="N178" s="26"/>
      <c r="O178" s="28"/>
      <c r="P178" s="26"/>
      <c r="Q178" s="26"/>
      <c r="R178" s="26"/>
      <c r="S178" s="26"/>
      <c r="T178" s="28"/>
      <c r="U178" s="26"/>
      <c r="V178" s="27"/>
      <c r="W178" s="27" t="s">
        <v>194</v>
      </c>
      <c r="X178" s="27">
        <f>X164</f>
        <v>175.1833044398964</v>
      </c>
      <c r="Y178" s="27" t="s">
        <v>781</v>
      </c>
      <c r="Z178" s="26"/>
      <c r="AA178" s="26"/>
      <c r="AB178" s="28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9"/>
    </row>
    <row r="179" spans="2:40">
      <c r="B179" s="34"/>
      <c r="C179" s="26"/>
      <c r="D179" s="26"/>
      <c r="E179" s="26"/>
      <c r="F179" s="26"/>
      <c r="G179" s="28"/>
      <c r="H179" s="26"/>
      <c r="I179" s="26"/>
      <c r="J179" s="26"/>
      <c r="K179" s="28"/>
      <c r="L179" s="26"/>
      <c r="M179" s="26"/>
      <c r="N179" s="26"/>
      <c r="O179" s="28"/>
      <c r="P179" s="26"/>
      <c r="Q179" s="26"/>
      <c r="R179" s="26"/>
      <c r="S179" s="26"/>
      <c r="T179" s="28"/>
      <c r="U179" s="26"/>
      <c r="V179" s="27"/>
      <c r="W179" s="27"/>
      <c r="X179" s="6">
        <f>X178/1000</f>
        <v>0.17518330443989641</v>
      </c>
      <c r="Y179" s="27" t="s">
        <v>783</v>
      </c>
      <c r="Z179" s="26"/>
      <c r="AA179" s="26"/>
      <c r="AB179" s="28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9"/>
    </row>
    <row r="180" spans="2:40">
      <c r="B180" s="34"/>
      <c r="C180" s="26"/>
      <c r="D180" s="26"/>
      <c r="E180" s="26"/>
      <c r="F180" s="26"/>
      <c r="G180" s="28"/>
      <c r="H180" s="26"/>
      <c r="I180" s="26"/>
      <c r="J180" s="26"/>
      <c r="K180" s="28"/>
      <c r="L180" s="26"/>
      <c r="M180" s="26"/>
      <c r="N180" s="26"/>
      <c r="O180" s="28"/>
      <c r="P180" s="26"/>
      <c r="Q180" s="26"/>
      <c r="R180" s="26"/>
      <c r="S180" s="26"/>
      <c r="T180" s="28"/>
      <c r="U180" s="26"/>
      <c r="V180" s="27"/>
      <c r="W180" s="6" t="s">
        <v>732</v>
      </c>
      <c r="X180" s="27">
        <f>SUM(X176,X178)</f>
        <v>-44.988279091938097</v>
      </c>
      <c r="Y180" s="27" t="s">
        <v>781</v>
      </c>
      <c r="Z180" s="26"/>
      <c r="AA180" s="26"/>
      <c r="AB180" s="28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9"/>
    </row>
    <row r="181" spans="2:40">
      <c r="B181" s="34"/>
      <c r="C181" s="26"/>
      <c r="D181" s="26"/>
      <c r="E181" s="28"/>
      <c r="F181" s="26"/>
      <c r="G181" s="28"/>
      <c r="H181" s="26"/>
      <c r="I181" s="26"/>
      <c r="J181" s="26"/>
      <c r="K181" s="28"/>
      <c r="L181" s="26"/>
      <c r="M181" s="26"/>
      <c r="N181" s="26"/>
      <c r="O181" s="28"/>
      <c r="P181" s="26"/>
      <c r="Q181" s="26"/>
      <c r="R181" s="26"/>
      <c r="S181" s="26"/>
      <c r="T181" s="28"/>
      <c r="U181" s="26"/>
      <c r="V181" s="27"/>
      <c r="W181" s="27"/>
      <c r="X181" s="6">
        <f>SUM(X177,X179)</f>
        <v>-4.4988279091938088E-2</v>
      </c>
      <c r="Y181" s="27" t="s">
        <v>783</v>
      </c>
      <c r="Z181" s="26"/>
      <c r="AA181" s="26"/>
      <c r="AB181" s="28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9"/>
    </row>
    <row r="182" spans="2:40" ht="15.75" thickBot="1">
      <c r="B182" s="61"/>
      <c r="C182" s="62"/>
      <c r="D182" s="62"/>
      <c r="E182" s="63"/>
      <c r="F182" s="62"/>
      <c r="G182" s="63"/>
      <c r="H182" s="62"/>
      <c r="I182" s="62"/>
      <c r="J182" s="62"/>
      <c r="K182" s="63"/>
      <c r="L182" s="62"/>
      <c r="M182" s="62"/>
      <c r="N182" s="62"/>
      <c r="O182" s="63"/>
      <c r="P182" s="62"/>
      <c r="Q182" s="62"/>
      <c r="R182" s="62"/>
      <c r="S182" s="62"/>
      <c r="T182" s="63"/>
      <c r="U182" s="62"/>
      <c r="V182" s="241" t="s">
        <v>618</v>
      </c>
      <c r="W182" s="241"/>
      <c r="X182" s="241">
        <f>SUM(Y163:Y175)</f>
        <v>-87.440210009246229</v>
      </c>
      <c r="Y182" s="241" t="s">
        <v>789</v>
      </c>
      <c r="Z182" s="62"/>
      <c r="AA182" s="62"/>
      <c r="AB182" s="63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4"/>
    </row>
  </sheetData>
  <sheetProtection algorithmName="SHA-512" hashValue="pmse8AVZy/kWzeOpSQPBE7A6x7KNzjrdBZ4DLFIGhvVFDio0NnpVzc8z/lYbc1AXiG7ihg9qe5wkXW4Zl67C2Q==" saltValue="tCWQrgSLUUh/49T8H3nhZw==" spinCount="100000" sheet="1" objects="1" scenarios="1"/>
  <phoneticPr fontId="3" type="noConversion"/>
  <hyperlinks>
    <hyperlink ref="AE110" r:id="rId1" xr:uid="{07347B65-BEE5-4641-A58B-AEC638A6C9F3}"/>
    <hyperlink ref="AE114" r:id="rId2" xr:uid="{41C9F7FD-C2F9-4BF1-94CA-84D0479DB606}"/>
    <hyperlink ref="AE141" r:id="rId3" xr:uid="{0682F404-8CF2-41FD-B38A-D93AFBEC1CF3}"/>
    <hyperlink ref="AE145" r:id="rId4" xr:uid="{EF4E1272-D407-458F-ACB3-D5DCC6166928}"/>
    <hyperlink ref="AE168" r:id="rId5" xr:uid="{30FD0538-BA5E-454C-83AC-74EAB0B6FFE2}"/>
    <hyperlink ref="AE172" r:id="rId6" xr:uid="{47EB101D-0944-4395-AF82-1B14EF2DD378}"/>
    <hyperlink ref="W86" r:id="rId7" xr:uid="{91DA05AC-8B87-4AAF-8DC4-CEEEABD38286}"/>
  </hyperlinks>
  <pageMargins left="0.7" right="0.7" top="0.75" bottom="0.75" header="0.3" footer="0.3"/>
  <pageSetup orientation="portrait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E44D4CD2C67BB4E9EA8411F6990D3F6" ma:contentTypeVersion="18" ma:contentTypeDescription="새 문서를 만듭니다." ma:contentTypeScope="" ma:versionID="809436515724ccfe74382d891dd5abd7">
  <xsd:schema xmlns:xsd="http://www.w3.org/2001/XMLSchema" xmlns:xs="http://www.w3.org/2001/XMLSchema" xmlns:p="http://schemas.microsoft.com/office/2006/metadata/properties" xmlns:ns3="0265c212-695b-4ce8-801b-d8d1ee3daec8" xmlns:ns4="db1af4d0-db34-4c82-8520-5f9baa253c75" targetNamespace="http://schemas.microsoft.com/office/2006/metadata/properties" ma:root="true" ma:fieldsID="c95c15ad389be235e19c26e8b6cea94a" ns3:_="" ns4:_="">
    <xsd:import namespace="0265c212-695b-4ce8-801b-d8d1ee3daec8"/>
    <xsd:import namespace="db1af4d0-db34-4c82-8520-5f9baa253c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5c212-695b-4ce8-801b-d8d1ee3da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af4d0-db34-4c82-8520-5f9baa253c75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4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65c212-695b-4ce8-801b-d8d1ee3daec8" xsi:nil="true"/>
  </documentManagement>
</p:properties>
</file>

<file path=customXml/itemProps1.xml><?xml version="1.0" encoding="utf-8"?>
<ds:datastoreItem xmlns:ds="http://schemas.openxmlformats.org/officeDocument/2006/customXml" ds:itemID="{B8F0ADEF-6D2F-4239-98F3-268D09A0F5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B931D3-D86E-485A-AFE1-C28DD6DAD7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65c212-695b-4ce8-801b-d8d1ee3daec8"/>
    <ds:schemaRef ds:uri="db1af4d0-db34-4c82-8520-5f9baa253c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7DAE98-A5FB-4513-AB44-9CAA12FAD5C0}">
  <ds:schemaRefs>
    <ds:schemaRef ds:uri="http://schemas.microsoft.com/office/2006/documentManagement/types"/>
    <ds:schemaRef ds:uri="http://www.w3.org/XML/1998/namespace"/>
    <ds:schemaRef ds:uri="http://purl.org/dc/elements/1.1/"/>
    <ds:schemaRef ds:uri="0265c212-695b-4ce8-801b-d8d1ee3daec8"/>
    <ds:schemaRef ds:uri="http://purl.org/dc/terms/"/>
    <ds:schemaRef ds:uri="db1af4d0-db34-4c82-8520-5f9baa253c75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1-1. Incineration</vt:lpstr>
      <vt:lpstr>1-2. Incineration + AD</vt:lpstr>
      <vt:lpstr>2. Extrusion</vt:lpstr>
      <vt:lpstr>3. Chemical recycling</vt:lpstr>
      <vt:lpstr>4. AD 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박상혁(환경공학부)</dc:creator>
  <cp:lastModifiedBy>Arma Yulisa</cp:lastModifiedBy>
  <dcterms:created xsi:type="dcterms:W3CDTF">2025-11-21T17:55:05Z</dcterms:created>
  <dcterms:modified xsi:type="dcterms:W3CDTF">2026-03-04T09:22:07Z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0x0101006E44D4CD2C67BB4E9EA8411F6990D3F6</vt:lpwstr>
  </property>
</Properties>
</file>